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DF75AA8A-EA2F-428B-A854-A3D4D117E050}" xr6:coauthVersionLast="45" xr6:coauthVersionMax="45" xr10:uidLastSave="{00000000-0000-0000-0000-000000000000}"/>
  <bookViews>
    <workbookView xWindow="-120" yWindow="-120" windowWidth="21840" windowHeight="13140" tabRatio="752" xr2:uid="{00000000-000D-0000-FFFF-FFFF00000000}"/>
  </bookViews>
  <sheets>
    <sheet name="By Country (Services))" sheetId="11" r:id="rId1"/>
    <sheet name="By Country (Manufacturing)" sheetId="10" r:id="rId2"/>
    <sheet name="By Ind (Various Sector)" sheetId="9" r:id="rId3"/>
    <sheet name="By State Various Sector " sheetId="1" r:id="rId4"/>
  </sheets>
  <definedNames>
    <definedName name="_xlnm._FilterDatabase" localSheetId="1" hidden="1">'By Country (Manufacturing)'!#REF!</definedName>
    <definedName name="_xlnm._FilterDatabase" localSheetId="0" hidden="1">'By Country (Services))'!#REF!</definedName>
    <definedName name="_xlnm._FilterDatabase" localSheetId="2" hidden="1">'By Ind (Various Sector)'!$A$6:$F$34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1" l="1"/>
  <c r="C9" i="11"/>
  <c r="D38" i="10" l="1"/>
  <c r="C38" i="10"/>
  <c r="F59" i="1" l="1"/>
  <c r="E59" i="1"/>
  <c r="D59" i="1"/>
  <c r="C59" i="1"/>
  <c r="B59" i="1"/>
  <c r="F39" i="1"/>
  <c r="E39" i="1"/>
  <c r="D39" i="1"/>
  <c r="C39" i="1"/>
  <c r="B39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<sst xmlns="http://schemas.openxmlformats.org/spreadsheetml/2006/main" count="173" uniqueCount="81">
  <si>
    <t>Primary</t>
  </si>
  <si>
    <t>Services</t>
  </si>
  <si>
    <t>Manufacturing</t>
  </si>
  <si>
    <t>No. of Projects</t>
  </si>
  <si>
    <t>Employment</t>
  </si>
  <si>
    <t>Domestic Investment             (RM)</t>
  </si>
  <si>
    <t>Foreign Investment         (RM)</t>
  </si>
  <si>
    <t>Sabah</t>
  </si>
  <si>
    <t>Johor</t>
  </si>
  <si>
    <t>Selangor</t>
  </si>
  <si>
    <t>Kedah</t>
  </si>
  <si>
    <t>Sarawak</t>
  </si>
  <si>
    <t>Perak</t>
  </si>
  <si>
    <t>Melaka</t>
  </si>
  <si>
    <t>Pahang</t>
  </si>
  <si>
    <t>Perlis</t>
  </si>
  <si>
    <t>Terengganu</t>
  </si>
  <si>
    <t>W.P. Kuala Lumpur</t>
  </si>
  <si>
    <t>Kelantan</t>
  </si>
  <si>
    <t>W.P. Labuan</t>
  </si>
  <si>
    <t>W.P. Putrajaya</t>
  </si>
  <si>
    <t>Pulau Pinang</t>
  </si>
  <si>
    <t>Negeri Sembilan</t>
  </si>
  <si>
    <t>Total 
Investment              (RM)</t>
  </si>
  <si>
    <t>Total</t>
  </si>
  <si>
    <t xml:space="preserve">Number </t>
  </si>
  <si>
    <t>Domestic Investment (RM)</t>
  </si>
  <si>
    <t>Foreign Investment (RM)</t>
  </si>
  <si>
    <t>Total Investment (RM)</t>
  </si>
  <si>
    <t>Basic Metal Products</t>
  </si>
  <si>
    <t>Chemicals &amp; Chemical Products</t>
  </si>
  <si>
    <t>Electrical &amp; Electronics</t>
  </si>
  <si>
    <t>Fabricated Metal Products</t>
  </si>
  <si>
    <t>Food Manufacturing</t>
  </si>
  <si>
    <t>Furniture &amp; Fixtures</t>
  </si>
  <si>
    <t>Machinery &amp; Equipment</t>
  </si>
  <si>
    <t>Miscellaneous</t>
  </si>
  <si>
    <t>Non-Metallic Mineral Products</t>
  </si>
  <si>
    <t>Petroleum Products (Inc. Petrochemicals)</t>
  </si>
  <si>
    <t>Plastic Products</t>
  </si>
  <si>
    <t>Rubber Products</t>
  </si>
  <si>
    <t>Scientific &amp; Measuring Equipment</t>
  </si>
  <si>
    <t>Textiles &amp; Textile Products</t>
  </si>
  <si>
    <t>Transport Equipment</t>
  </si>
  <si>
    <t>Wood &amp; Wood Products</t>
  </si>
  <si>
    <t>Plantation and Commodities</t>
  </si>
  <si>
    <t>Distributive Trade</t>
  </si>
  <si>
    <t>Education Services</t>
  </si>
  <si>
    <t>Other Services</t>
  </si>
  <si>
    <t>Real Estate</t>
  </si>
  <si>
    <t>Utilities</t>
  </si>
  <si>
    <t>Mining</t>
  </si>
  <si>
    <t>Main Sector &amp; State</t>
  </si>
  <si>
    <t>Paper, Printing &amp; Publishing</t>
  </si>
  <si>
    <t>Undecided**</t>
  </si>
  <si>
    <t>Note * : Includes data compiled under MIDA's purview and from various other ministries and agencies</t>
  </si>
  <si>
    <t>Support Services</t>
  </si>
  <si>
    <t xml:space="preserve">       ** : Proposed state details not available</t>
  </si>
  <si>
    <t>TABLE OF APPROVED INVESTMENTS IN VARIOUS ECONOMIC SECTORS* BY MAIN SECTOR AND STATE, 2023 / 2022</t>
  </si>
  <si>
    <t>TABLE OF APPROVED INVESTMENTS IN VARIOUS ECONOMIC SECTORS* BY STATE, MAIN SECTOR AND SECTOR, 2023 / 2022</t>
  </si>
  <si>
    <t>-</t>
  </si>
  <si>
    <t>Industry</t>
  </si>
  <si>
    <t>USA</t>
  </si>
  <si>
    <t>Japan</t>
  </si>
  <si>
    <t>The People’s Republic of China</t>
  </si>
  <si>
    <t>Germany</t>
  </si>
  <si>
    <t>Singapore</t>
  </si>
  <si>
    <t>France</t>
  </si>
  <si>
    <t>Hong Kong SAR, China</t>
  </si>
  <si>
    <t>The Netherlands</t>
  </si>
  <si>
    <t>United Arab Emirates</t>
  </si>
  <si>
    <t>Taipei</t>
  </si>
  <si>
    <t>India</t>
  </si>
  <si>
    <t>Country</t>
  </si>
  <si>
    <t>Total Foreign Investment (RM)</t>
  </si>
  <si>
    <t>Total Employment</t>
  </si>
  <si>
    <t>No</t>
  </si>
  <si>
    <t xml:space="preserve">TABLE OF APPROVED INVESTMENTS  IN MANUFACTURING BY COUNTRY, 2023 </t>
  </si>
  <si>
    <t xml:space="preserve">TABLE OF APPROVED INVESTMENTS  IN SERVICES BY COUNTRY, 2023 </t>
  </si>
  <si>
    <t>Thailand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</si>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</sst>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1" fillId="2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indent="1"/>
    </xf>
    <xf numFmtId="0" fontId="0" fillId="0" borderId="0" xfId="0" applyFont="1"/>
    <xf numFmtId="3" fontId="0" fillId="0" borderId="0" xfId="0" applyNumberFormat="1" applyFont="1"/>
    <xf numFmtId="0" fontId="1" fillId="0" borderId="0" xfId="0" applyFont="1" applyAlignment="1">
      <alignment vertical="center"/>
    </xf>
    <xf numFmtId="0" fontId="0" fillId="0" borderId="3" xfId="0" applyFont="1" applyBorder="1" applyAlignment="1">
      <alignment horizontal="left" vertical="center" indent="1"/>
    </xf>
    <xf numFmtId="0" fontId="0" fillId="0" borderId="3" xfId="0" applyFont="1" applyFill="1" applyBorder="1" applyAlignment="1">
      <alignment horizontal="left" vertical="center" indent="1"/>
    </xf>
    <xf numFmtId="3" fontId="0" fillId="0" borderId="1" xfId="0" applyNumberFormat="1" applyFont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right" vertical="center"/>
    </xf>
    <xf numFmtId="3" fontId="1" fillId="3" borderId="1" xfId="0" applyNumberFormat="1" applyFont="1" applyFill="1" applyBorder="1" applyAlignment="1">
      <alignment horizontal="right" vertical="center"/>
    </xf>
    <xf numFmtId="3" fontId="1" fillId="4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indent="2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left" vertical="center" indent="1"/>
    </xf>
    <xf numFmtId="0" fontId="0" fillId="0" borderId="0" xfId="0" applyFont="1" applyBorder="1" applyAlignment="1">
      <alignment horizontal="left" vertical="center" indent="1"/>
    </xf>
    <xf numFmtId="3" fontId="0" fillId="0" borderId="0" xfId="0" applyNumberFormat="1" applyFont="1" applyBorder="1" applyAlignment="1">
      <alignment horizontal="right" vertical="center"/>
    </xf>
    <xf numFmtId="3" fontId="1" fillId="0" borderId="0" xfId="0" applyNumberFormat="1" applyFont="1" applyFill="1" applyBorder="1" applyAlignment="1">
      <alignment horizontal="right" vertical="center"/>
    </xf>
    <xf numFmtId="0" fontId="0" fillId="0" borderId="0" xfId="0" applyFont="1" applyFill="1"/>
    <xf numFmtId="0" fontId="3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right" vertical="top" wrapText="1"/>
    </xf>
    <xf numFmtId="3" fontId="1" fillId="0" borderId="1" xfId="0" applyNumberFormat="1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wrapText="1"/>
    </xf>
    <xf numFmtId="0" fontId="4" fillId="0" borderId="1" xfId="0" applyFont="1" applyFill="1" applyBorder="1" applyAlignment="1">
      <alignment horizontal="center" vertical="top" wrapText="1"/>
    </xf>
    <xf numFmtId="3" fontId="4" fillId="0" borderId="1" xfId="0" applyNumberFormat="1" applyFont="1" applyFill="1" applyBorder="1" applyAlignment="1">
      <alignment horizontal="right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FF00"/>
      <color rgb="FF00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D047-B527-46B5-800B-024F664AE6B2}">
  <sheetPr>
    <tabColor rgb="FF00FF00"/>
  </sheetPr>
  <dimension ref="A2:E21"/>
  <sheetViews>
    <sheetView tabSelected="1" workbookViewId="0">
      <selection activeCell="A9" sqref="A9:B9"/>
    </sheetView>
  </sheetViews>
  <sheetFormatPr defaultRowHeight="15" x14ac:dyDescent="0.25"/>
  <cols>
    <col min="1" max="1" width="9.140625" customWidth="1"/>
    <col min="2" max="2" width="26.85546875" customWidth="1"/>
    <col min="3" max="3" width="15.85546875" customWidth="1"/>
    <col min="4" max="4" width="27.85546875" customWidth="1"/>
  </cols>
  <sheetData>
    <row r="2" spans="1:5" x14ac:dyDescent="0.25">
      <c r="A2" s="3" t="s">
        <v>78</v>
      </c>
      <c r="B2" s="7"/>
      <c r="C2" s="7"/>
      <c r="D2" s="7"/>
      <c r="E2" s="7"/>
    </row>
    <row r="3" spans="1:5" x14ac:dyDescent="0.25">
      <c r="A3" s="7"/>
      <c r="B3" s="7"/>
      <c r="C3" s="7"/>
      <c r="D3" s="7"/>
      <c r="E3" s="7"/>
    </row>
    <row r="4" spans="1:5" ht="30" x14ac:dyDescent="0.25">
      <c r="A4" s="19" t="s">
        <v>76</v>
      </c>
      <c r="B4" s="19" t="s">
        <v>73</v>
      </c>
      <c r="C4" s="19" t="s">
        <v>75</v>
      </c>
      <c r="D4" s="19" t="s">
        <v>74</v>
      </c>
      <c r="E4" s="7"/>
    </row>
    <row r="5" spans="1:5" x14ac:dyDescent="0.25">
      <c r="A5" s="29">
        <v>1</v>
      </c>
      <c r="B5" s="26" t="s">
        <v>65</v>
      </c>
      <c r="C5" s="31">
        <v>0</v>
      </c>
      <c r="D5" s="27">
        <v>22730816</v>
      </c>
      <c r="E5" s="7"/>
    </row>
    <row r="6" spans="1:5" ht="25.5" x14ac:dyDescent="0.25">
      <c r="A6" s="29">
        <v>2</v>
      </c>
      <c r="B6" s="26" t="s">
        <v>64</v>
      </c>
      <c r="C6" s="31">
        <v>0</v>
      </c>
      <c r="D6" s="27">
        <v>523737</v>
      </c>
      <c r="E6" s="7"/>
    </row>
    <row r="7" spans="1:5" x14ac:dyDescent="0.25">
      <c r="A7" s="29">
        <v>3</v>
      </c>
      <c r="B7" s="26" t="s">
        <v>79</v>
      </c>
      <c r="C7" s="31">
        <v>0</v>
      </c>
      <c r="D7" s="27">
        <v>486598</v>
      </c>
      <c r="E7" s="7"/>
    </row>
    <row r="8" spans="1:5" x14ac:dyDescent="0.25">
      <c r="A8" s="32">
        <v>4</v>
      </c>
      <c r="B8" s="26" t="s">
        <v>80</v>
      </c>
      <c r="C8" s="33">
        <v>0</v>
      </c>
      <c r="D8" s="27">
        <v>407284</v>
      </c>
      <c r="E8" s="7"/>
    </row>
    <row r="9" spans="1:5" x14ac:dyDescent="0.25">
      <c r="A9" s="34" t="s">
        <v>24</v>
      </c>
      <c r="B9" s="35"/>
      <c r="C9" s="28">
        <f>SUM(C5:C8)</f>
        <v>0</v>
      </c>
      <c r="D9" s="28">
        <f>SUM(D5:D8)</f>
        <v>24148435</v>
      </c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7"/>
      <c r="E12" s="7"/>
    </row>
    <row r="13" spans="1:5" x14ac:dyDescent="0.25">
      <c r="A13" s="7"/>
      <c r="B13" s="7"/>
      <c r="C13" s="7"/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x14ac:dyDescent="0.25">
      <c r="A21" s="7"/>
      <c r="B21" s="7"/>
      <c r="C21" s="7"/>
      <c r="D21" s="7"/>
      <c r="E21" s="7"/>
    </row>
  </sheetData>
  <mergeCells count="1">
    <mergeCell ref="A9:B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DF70-976C-40D0-8D9F-78010A2F94ED}">
  <sheetPr>
    <tabColor rgb="FF00FF00"/>
  </sheetPr>
  <dimension ref="A2:E52"/>
  <sheetViews>
    <sheetView workbookViewId="0"/>
  </sheetViews>
  <sheetFormatPr defaultRowHeight="15" x14ac:dyDescent="0.25"/>
  <cols>
    <col min="1" max="1" width="9.140625" customWidth="1"/>
    <col min="2" max="2" width="26.85546875" customWidth="1"/>
    <col min="3" max="3" width="15.85546875" customWidth="1"/>
    <col min="4" max="4" width="27.85546875" customWidth="1"/>
  </cols>
  <sheetData>
    <row r="2" spans="1:5" x14ac:dyDescent="0.25">
      <c r="A2" s="3" t="s">
        <v>77</v>
      </c>
      <c r="B2" s="7"/>
      <c r="C2" s="7"/>
      <c r="D2" s="7"/>
      <c r="E2" s="7"/>
    </row>
    <row r="3" spans="1:5" x14ac:dyDescent="0.25">
      <c r="A3" s="7"/>
      <c r="B3" s="7"/>
      <c r="C3" s="7"/>
      <c r="D3" s="7"/>
      <c r="E3" s="7"/>
    </row>
    <row r="4" spans="1:5" ht="30" x14ac:dyDescent="0.25">
      <c r="A4" s="19" t="s">
        <v>76</v>
      </c>
      <c r="B4" s="19" t="s">
        <v>73</v>
      </c>
      <c r="C4" s="19" t="s">
        <v>75</v>
      </c>
      <c r="D4" s="19" t="s">
        <v>74</v>
      </c>
      <c r="E4" s="7"/>
    </row>
    <row r="5" spans="1:5" x14ac:dyDescent="0.25">
      <c r="A5" s="29">
        <v>1</v>
      </c>
      <c r="B5" s="30" t="s">
        <v>67</v>
      </c>
      <c r="C5" s="31">
        <v>239</v>
      </c>
      <c r="D5" s="31">
        <v>197148000</v>
      </c>
      <c r="E5" s="7"/>
    </row>
    <row r="6" spans="1:5" x14ac:dyDescent="0.25">
      <c r="A6" s="29">
        <v>2</v>
      </c>
      <c r="B6" s="30" t="s">
        <v>67</v>
      </c>
      <c r="C6" s="31">
        <v>32</v>
      </c>
      <c r="D6" s="31">
        <v>7257846</v>
      </c>
      <c r="E6" s="7"/>
    </row>
    <row r="7" spans="1:5" x14ac:dyDescent="0.25">
      <c r="A7" s="29">
        <v>3</v>
      </c>
      <c r="B7" s="30" t="s">
        <v>67</v>
      </c>
      <c r="C7" s="31">
        <v>0</v>
      </c>
      <c r="D7" s="31">
        <v>1472013</v>
      </c>
      <c r="E7" s="7"/>
    </row>
    <row r="8" spans="1:5" x14ac:dyDescent="0.25">
      <c r="A8" s="29">
        <v>4</v>
      </c>
      <c r="B8" s="30" t="s">
        <v>65</v>
      </c>
      <c r="C8" s="31">
        <v>751</v>
      </c>
      <c r="D8" s="31">
        <v>1255313817</v>
      </c>
      <c r="E8" s="7"/>
    </row>
    <row r="9" spans="1:5" x14ac:dyDescent="0.25">
      <c r="A9" s="29">
        <v>5</v>
      </c>
      <c r="B9" s="30" t="s">
        <v>68</v>
      </c>
      <c r="C9" s="31">
        <v>100</v>
      </c>
      <c r="D9" s="31">
        <v>77153003</v>
      </c>
      <c r="E9" s="7"/>
    </row>
    <row r="10" spans="1:5" x14ac:dyDescent="0.25">
      <c r="A10" s="29">
        <v>6</v>
      </c>
      <c r="B10" s="30" t="s">
        <v>68</v>
      </c>
      <c r="C10" s="31">
        <v>79</v>
      </c>
      <c r="D10" s="31">
        <v>35000000</v>
      </c>
      <c r="E10" s="7"/>
    </row>
    <row r="11" spans="1:5" x14ac:dyDescent="0.25">
      <c r="A11" s="29">
        <v>7</v>
      </c>
      <c r="B11" s="30" t="s">
        <v>68</v>
      </c>
      <c r="C11" s="31">
        <v>80</v>
      </c>
      <c r="D11" s="31">
        <v>21520000</v>
      </c>
      <c r="E11" s="7"/>
    </row>
    <row r="12" spans="1:5" x14ac:dyDescent="0.25">
      <c r="A12" s="29">
        <v>8</v>
      </c>
      <c r="B12" s="30" t="s">
        <v>68</v>
      </c>
      <c r="C12" s="31">
        <v>75</v>
      </c>
      <c r="D12" s="31">
        <v>16865886</v>
      </c>
      <c r="E12" s="7"/>
    </row>
    <row r="13" spans="1:5" x14ac:dyDescent="0.25">
      <c r="A13" s="29">
        <v>9</v>
      </c>
      <c r="B13" s="30" t="s">
        <v>68</v>
      </c>
      <c r="C13" s="31">
        <v>50</v>
      </c>
      <c r="D13" s="31">
        <v>16639719</v>
      </c>
      <c r="E13" s="7"/>
    </row>
    <row r="14" spans="1:5" x14ac:dyDescent="0.25">
      <c r="A14" s="29">
        <v>10</v>
      </c>
      <c r="B14" s="30" t="s">
        <v>68</v>
      </c>
      <c r="C14" s="31">
        <v>31</v>
      </c>
      <c r="D14" s="31">
        <v>15450000</v>
      </c>
      <c r="E14" s="7"/>
    </row>
    <row r="15" spans="1:5" x14ac:dyDescent="0.25">
      <c r="A15" s="29">
        <v>11</v>
      </c>
      <c r="B15" s="30" t="s">
        <v>68</v>
      </c>
      <c r="C15" s="31">
        <v>75</v>
      </c>
      <c r="D15" s="31">
        <v>11605000</v>
      </c>
      <c r="E15" s="7"/>
    </row>
    <row r="16" spans="1:5" x14ac:dyDescent="0.25">
      <c r="A16" s="29">
        <v>12</v>
      </c>
      <c r="B16" s="30" t="s">
        <v>72</v>
      </c>
      <c r="C16" s="31">
        <v>25</v>
      </c>
      <c r="D16" s="31">
        <v>5964539</v>
      </c>
      <c r="E16" s="7"/>
    </row>
    <row r="17" spans="1:5" x14ac:dyDescent="0.25">
      <c r="A17" s="29">
        <v>13</v>
      </c>
      <c r="B17" s="30" t="s">
        <v>72</v>
      </c>
      <c r="C17" s="31">
        <v>0</v>
      </c>
      <c r="D17" s="31">
        <v>0</v>
      </c>
      <c r="E17" s="7"/>
    </row>
    <row r="18" spans="1:5" x14ac:dyDescent="0.25">
      <c r="A18" s="29">
        <v>14</v>
      </c>
      <c r="B18" s="30" t="s">
        <v>63</v>
      </c>
      <c r="C18" s="31">
        <v>880</v>
      </c>
      <c r="D18" s="31">
        <v>6454039000</v>
      </c>
      <c r="E18" s="7"/>
    </row>
    <row r="19" spans="1:5" x14ac:dyDescent="0.25">
      <c r="A19" s="29">
        <v>15</v>
      </c>
      <c r="B19" s="30" t="s">
        <v>63</v>
      </c>
      <c r="C19" s="31">
        <v>180</v>
      </c>
      <c r="D19" s="31">
        <v>912800000</v>
      </c>
      <c r="E19" s="7"/>
    </row>
    <row r="20" spans="1:5" x14ac:dyDescent="0.25">
      <c r="A20" s="29">
        <v>16</v>
      </c>
      <c r="B20" s="30" t="s">
        <v>63</v>
      </c>
      <c r="C20" s="31">
        <v>15</v>
      </c>
      <c r="D20" s="31">
        <v>14823035</v>
      </c>
      <c r="E20" s="7"/>
    </row>
    <row r="21" spans="1:5" x14ac:dyDescent="0.25">
      <c r="A21" s="29">
        <v>17</v>
      </c>
      <c r="B21" s="30" t="s">
        <v>66</v>
      </c>
      <c r="C21" s="31">
        <v>75</v>
      </c>
      <c r="D21" s="31">
        <v>291048165</v>
      </c>
      <c r="E21" s="7"/>
    </row>
    <row r="22" spans="1:5" x14ac:dyDescent="0.25">
      <c r="A22" s="29">
        <v>18</v>
      </c>
      <c r="B22" s="30" t="s">
        <v>66</v>
      </c>
      <c r="C22" s="31">
        <v>271</v>
      </c>
      <c r="D22" s="31">
        <v>122873500</v>
      </c>
      <c r="E22" s="7"/>
    </row>
    <row r="23" spans="1:5" x14ac:dyDescent="0.25">
      <c r="A23" s="29">
        <v>19</v>
      </c>
      <c r="B23" s="30" t="s">
        <v>66</v>
      </c>
      <c r="C23" s="31">
        <v>80</v>
      </c>
      <c r="D23" s="31">
        <v>26628000</v>
      </c>
      <c r="E23" s="7"/>
    </row>
    <row r="24" spans="1:5" x14ac:dyDescent="0.25">
      <c r="A24" s="29">
        <v>20</v>
      </c>
      <c r="B24" s="30" t="s">
        <v>66</v>
      </c>
      <c r="C24" s="31">
        <v>0</v>
      </c>
      <c r="D24" s="31">
        <v>0</v>
      </c>
      <c r="E24" s="7"/>
    </row>
    <row r="25" spans="1:5" x14ac:dyDescent="0.25">
      <c r="A25" s="29">
        <v>21</v>
      </c>
      <c r="B25" s="30" t="s">
        <v>66</v>
      </c>
      <c r="C25" s="31">
        <v>0</v>
      </c>
      <c r="D25" s="31">
        <v>0</v>
      </c>
      <c r="E25" s="7"/>
    </row>
    <row r="26" spans="1:5" x14ac:dyDescent="0.25">
      <c r="A26" s="29">
        <v>22</v>
      </c>
      <c r="B26" s="30" t="s">
        <v>71</v>
      </c>
      <c r="C26" s="31">
        <v>49</v>
      </c>
      <c r="D26" s="31">
        <v>6539459</v>
      </c>
      <c r="E26" s="7"/>
    </row>
    <row r="27" spans="1:5" x14ac:dyDescent="0.25">
      <c r="A27" s="29">
        <v>23</v>
      </c>
      <c r="B27" s="30" t="s">
        <v>71</v>
      </c>
      <c r="C27" s="31">
        <v>23</v>
      </c>
      <c r="D27" s="31">
        <v>6450000</v>
      </c>
      <c r="E27" s="7"/>
    </row>
    <row r="28" spans="1:5" x14ac:dyDescent="0.25">
      <c r="A28" s="29">
        <v>24</v>
      </c>
      <c r="B28" s="30" t="s">
        <v>69</v>
      </c>
      <c r="C28" s="31">
        <v>290</v>
      </c>
      <c r="D28" s="31">
        <v>61281132</v>
      </c>
      <c r="E28" s="7"/>
    </row>
    <row r="29" spans="1:5" ht="28.5" x14ac:dyDescent="0.25">
      <c r="A29" s="29">
        <v>25</v>
      </c>
      <c r="B29" s="30" t="s">
        <v>64</v>
      </c>
      <c r="C29" s="31">
        <v>643</v>
      </c>
      <c r="D29" s="31">
        <v>4164906000</v>
      </c>
      <c r="E29" s="7"/>
    </row>
    <row r="30" spans="1:5" ht="28.5" x14ac:dyDescent="0.25">
      <c r="A30" s="29">
        <v>26</v>
      </c>
      <c r="B30" s="30" t="s">
        <v>64</v>
      </c>
      <c r="C30" s="31">
        <v>0</v>
      </c>
      <c r="D30" s="31">
        <v>518000000</v>
      </c>
      <c r="E30" s="7"/>
    </row>
    <row r="31" spans="1:5" ht="28.5" x14ac:dyDescent="0.25">
      <c r="A31" s="29">
        <v>27</v>
      </c>
      <c r="B31" s="30" t="s">
        <v>64</v>
      </c>
      <c r="C31" s="31">
        <v>79</v>
      </c>
      <c r="D31" s="31">
        <v>35000000</v>
      </c>
      <c r="E31" s="7"/>
    </row>
    <row r="32" spans="1:5" ht="28.5" x14ac:dyDescent="0.25">
      <c r="A32" s="29">
        <v>28</v>
      </c>
      <c r="B32" s="30" t="s">
        <v>64</v>
      </c>
      <c r="C32" s="31">
        <v>32</v>
      </c>
      <c r="D32" s="31">
        <v>29031375</v>
      </c>
      <c r="E32" s="7"/>
    </row>
    <row r="33" spans="1:5" ht="28.5" x14ac:dyDescent="0.25">
      <c r="A33" s="29">
        <v>29</v>
      </c>
      <c r="B33" s="30" t="s">
        <v>64</v>
      </c>
      <c r="C33" s="31">
        <v>0</v>
      </c>
      <c r="D33" s="31">
        <v>0</v>
      </c>
      <c r="E33" s="7"/>
    </row>
    <row r="34" spans="1:5" x14ac:dyDescent="0.25">
      <c r="A34" s="29">
        <v>30</v>
      </c>
      <c r="B34" s="30" t="s">
        <v>70</v>
      </c>
      <c r="C34" s="31">
        <v>148</v>
      </c>
      <c r="D34" s="31">
        <v>19010070</v>
      </c>
      <c r="E34" s="7"/>
    </row>
    <row r="35" spans="1:5" x14ac:dyDescent="0.25">
      <c r="A35" s="29">
        <v>31</v>
      </c>
      <c r="B35" s="30" t="s">
        <v>62</v>
      </c>
      <c r="C35" s="31">
        <v>1349</v>
      </c>
      <c r="D35" s="31">
        <v>7447800000</v>
      </c>
      <c r="E35" s="7"/>
    </row>
    <row r="36" spans="1:5" x14ac:dyDescent="0.25">
      <c r="A36" s="29">
        <v>32</v>
      </c>
      <c r="B36" s="30" t="s">
        <v>62</v>
      </c>
      <c r="C36" s="31">
        <v>697</v>
      </c>
      <c r="D36" s="31">
        <v>1328000000</v>
      </c>
      <c r="E36" s="7"/>
    </row>
    <row r="37" spans="1:5" x14ac:dyDescent="0.25">
      <c r="A37" s="29">
        <v>33</v>
      </c>
      <c r="B37" s="30" t="s">
        <v>62</v>
      </c>
      <c r="C37" s="31">
        <v>1896</v>
      </c>
      <c r="D37" s="31">
        <v>950528000</v>
      </c>
      <c r="E37" s="7"/>
    </row>
    <row r="38" spans="1:5" x14ac:dyDescent="0.25">
      <c r="A38" s="34" t="s">
        <v>24</v>
      </c>
      <c r="B38" s="35"/>
      <c r="C38" s="28">
        <f>SUM(C5:C37)</f>
        <v>8244</v>
      </c>
      <c r="D38" s="28">
        <f>SUM(D5:D37)</f>
        <v>24050147559</v>
      </c>
      <c r="E38" s="7"/>
    </row>
    <row r="39" spans="1:5" x14ac:dyDescent="0.25">
      <c r="A39" s="7"/>
      <c r="B39" s="7"/>
      <c r="C39" s="7"/>
      <c r="D39" s="7"/>
      <c r="E39" s="7"/>
    </row>
    <row r="40" spans="1:5" x14ac:dyDescent="0.25">
      <c r="A40" s="7"/>
      <c r="B40" s="7"/>
      <c r="C40" s="7"/>
      <c r="D40" s="7"/>
      <c r="E40" s="7"/>
    </row>
    <row r="41" spans="1:5" x14ac:dyDescent="0.25">
      <c r="A41" s="7"/>
      <c r="B41" s="7"/>
      <c r="C41" s="7"/>
      <c r="D41" s="7"/>
      <c r="E41" s="7"/>
    </row>
    <row r="42" spans="1:5" x14ac:dyDescent="0.25">
      <c r="A42" s="7"/>
      <c r="B42" s="7"/>
      <c r="C42" s="7"/>
      <c r="D42" s="7"/>
      <c r="E42" s="7"/>
    </row>
    <row r="43" spans="1:5" x14ac:dyDescent="0.25">
      <c r="A43" s="7"/>
      <c r="B43" s="7"/>
      <c r="C43" s="7"/>
      <c r="D43" s="7"/>
      <c r="E43" s="7"/>
    </row>
    <row r="44" spans="1:5" x14ac:dyDescent="0.25">
      <c r="A44" s="7"/>
      <c r="B44" s="7"/>
      <c r="C44" s="7"/>
      <c r="D44" s="7"/>
      <c r="E44" s="7"/>
    </row>
    <row r="45" spans="1:5" x14ac:dyDescent="0.25">
      <c r="A45" s="7"/>
      <c r="B45" s="7"/>
      <c r="C45" s="7"/>
      <c r="D45" s="7"/>
      <c r="E45" s="7"/>
    </row>
    <row r="46" spans="1:5" x14ac:dyDescent="0.25">
      <c r="A46" s="7"/>
      <c r="B46" s="7"/>
      <c r="C46" s="7"/>
      <c r="D46" s="7"/>
      <c r="E46" s="7"/>
    </row>
    <row r="47" spans="1:5" x14ac:dyDescent="0.25">
      <c r="A47" s="7"/>
      <c r="B47" s="7"/>
      <c r="C47" s="7"/>
      <c r="D47" s="7"/>
      <c r="E47" s="7"/>
    </row>
    <row r="48" spans="1:5" x14ac:dyDescent="0.25">
      <c r="A48" s="7"/>
      <c r="B48" s="7"/>
      <c r="C48" s="7"/>
      <c r="D48" s="7"/>
      <c r="E48" s="7"/>
    </row>
    <row r="49" spans="1:5" x14ac:dyDescent="0.25">
      <c r="A49" s="7"/>
      <c r="B49" s="7"/>
      <c r="C49" s="7"/>
      <c r="D49" s="7"/>
      <c r="E49" s="7"/>
    </row>
    <row r="50" spans="1:5" x14ac:dyDescent="0.25">
      <c r="A50" s="7"/>
      <c r="B50" s="7"/>
      <c r="C50" s="7"/>
      <c r="D50" s="7"/>
      <c r="E50" s="7"/>
    </row>
    <row r="51" spans="1:5" x14ac:dyDescent="0.25">
      <c r="A51" s="7"/>
      <c r="B51" s="7"/>
      <c r="C51" s="7"/>
      <c r="D51" s="7"/>
      <c r="E51" s="7"/>
    </row>
    <row r="52" spans="1:5" x14ac:dyDescent="0.25">
      <c r="A52" s="7"/>
      <c r="B52" s="7"/>
      <c r="C52" s="7"/>
      <c r="D52" s="7"/>
      <c r="E52" s="7"/>
    </row>
  </sheetData>
  <sortState xmlns:xlrd2="http://schemas.microsoft.com/office/spreadsheetml/2017/richdata2" ref="B5:D37">
    <sortCondition ref="B5:B37"/>
  </sortState>
  <mergeCells count="1">
    <mergeCell ref="A38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CDA4-072F-4C51-B14F-0080C0697014}">
  <sheetPr>
    <tabColor rgb="FF00FF00"/>
  </sheetPr>
  <dimension ref="A2:F37"/>
  <sheetViews>
    <sheetView topLeftCell="A11" workbookViewId="0">
      <selection activeCell="E30" sqref="E30"/>
    </sheetView>
  </sheetViews>
  <sheetFormatPr defaultRowHeight="15" x14ac:dyDescent="0.25"/>
  <cols>
    <col min="1" max="1" width="37.85546875" customWidth="1"/>
    <col min="3" max="3" width="11.42578125" customWidth="1"/>
    <col min="4" max="6" width="14.5703125" customWidth="1"/>
  </cols>
  <sheetData>
    <row r="2" spans="1:6" x14ac:dyDescent="0.25">
      <c r="A2" s="3" t="s">
        <v>59</v>
      </c>
    </row>
    <row r="4" spans="1:6" ht="14.45" customHeight="1" x14ac:dyDescent="0.25">
      <c r="A4" s="36" t="s">
        <v>61</v>
      </c>
      <c r="B4" s="37">
        <v>2023</v>
      </c>
      <c r="C4" s="38"/>
      <c r="D4" s="38"/>
      <c r="E4" s="38"/>
      <c r="F4" s="39"/>
    </row>
    <row r="5" spans="1:6" ht="45" x14ac:dyDescent="0.25">
      <c r="A5" s="36"/>
      <c r="B5" s="4" t="s">
        <v>25</v>
      </c>
      <c r="C5" s="18" t="s">
        <v>4</v>
      </c>
      <c r="D5" s="18" t="s">
        <v>26</v>
      </c>
      <c r="E5" s="18" t="s">
        <v>27</v>
      </c>
      <c r="F5" s="18" t="s">
        <v>28</v>
      </c>
    </row>
    <row r="6" spans="1:6" x14ac:dyDescent="0.25">
      <c r="A6" s="5" t="s">
        <v>10</v>
      </c>
      <c r="B6" s="14">
        <v>238</v>
      </c>
      <c r="C6" s="14">
        <v>9737</v>
      </c>
      <c r="D6" s="14">
        <v>4648139918.5600004</v>
      </c>
      <c r="E6" s="14">
        <v>24079895993</v>
      </c>
      <c r="F6" s="14">
        <v>28728035911.559998</v>
      </c>
    </row>
    <row r="7" spans="1:6" x14ac:dyDescent="0.25">
      <c r="A7" s="6" t="s">
        <v>0</v>
      </c>
      <c r="B7" s="15">
        <v>1</v>
      </c>
      <c r="C7" s="15">
        <v>11</v>
      </c>
      <c r="D7" s="15">
        <v>983437</v>
      </c>
      <c r="E7" s="15">
        <v>0</v>
      </c>
      <c r="F7" s="15">
        <v>983437</v>
      </c>
    </row>
    <row r="8" spans="1:6" x14ac:dyDescent="0.25">
      <c r="A8" s="17" t="s">
        <v>45</v>
      </c>
      <c r="B8" s="16">
        <v>1</v>
      </c>
      <c r="C8" s="16">
        <v>11</v>
      </c>
      <c r="D8" s="16">
        <v>983437</v>
      </c>
      <c r="E8" s="16">
        <v>0</v>
      </c>
      <c r="F8" s="16">
        <v>983437</v>
      </c>
    </row>
    <row r="9" spans="1:6" x14ac:dyDescent="0.25">
      <c r="A9" s="17" t="s">
        <v>51</v>
      </c>
      <c r="B9" s="16" t="s">
        <v>60</v>
      </c>
      <c r="C9" s="16" t="s">
        <v>60</v>
      </c>
      <c r="D9" s="16" t="s">
        <v>60</v>
      </c>
      <c r="E9" s="16" t="s">
        <v>60</v>
      </c>
      <c r="F9" s="16" t="s">
        <v>60</v>
      </c>
    </row>
    <row r="10" spans="1:6" x14ac:dyDescent="0.25">
      <c r="A10" s="6" t="s">
        <v>2</v>
      </c>
      <c r="B10" s="15">
        <v>63</v>
      </c>
      <c r="C10" s="15">
        <v>9627</v>
      </c>
      <c r="D10" s="15">
        <v>2775275621</v>
      </c>
      <c r="E10" s="15">
        <v>24050147559</v>
      </c>
      <c r="F10" s="15">
        <v>26825423180</v>
      </c>
    </row>
    <row r="11" spans="1:6" x14ac:dyDescent="0.25">
      <c r="A11" s="17" t="s">
        <v>31</v>
      </c>
      <c r="B11" s="16">
        <v>11</v>
      </c>
      <c r="C11" s="16">
        <v>3861</v>
      </c>
      <c r="D11" s="16">
        <v>936548029</v>
      </c>
      <c r="E11" s="16">
        <v>10211564272</v>
      </c>
      <c r="F11" s="16">
        <v>11148112301</v>
      </c>
    </row>
    <row r="12" spans="1:6" x14ac:dyDescent="0.25">
      <c r="A12" s="17" t="s">
        <v>35</v>
      </c>
      <c r="B12" s="16">
        <v>3</v>
      </c>
      <c r="C12" s="16">
        <v>1577</v>
      </c>
      <c r="D12" s="16">
        <v>101050000</v>
      </c>
      <c r="E12" s="16">
        <v>7782039000</v>
      </c>
      <c r="F12" s="16">
        <v>7883089000</v>
      </c>
    </row>
    <row r="13" spans="1:6" x14ac:dyDescent="0.25">
      <c r="A13" s="17" t="s">
        <v>43</v>
      </c>
      <c r="B13" s="16">
        <v>15</v>
      </c>
      <c r="C13" s="16">
        <v>1204</v>
      </c>
      <c r="D13" s="16">
        <v>150861792</v>
      </c>
      <c r="E13" s="16">
        <v>4363526013</v>
      </c>
      <c r="F13" s="16">
        <v>4514387805</v>
      </c>
    </row>
    <row r="14" spans="1:6" x14ac:dyDescent="0.25">
      <c r="A14" s="17" t="s">
        <v>37</v>
      </c>
      <c r="B14" s="16">
        <v>4</v>
      </c>
      <c r="C14" s="16">
        <v>815</v>
      </c>
      <c r="D14" s="16">
        <v>27588984</v>
      </c>
      <c r="E14" s="16">
        <v>1255313817</v>
      </c>
      <c r="F14" s="16">
        <v>1282902801</v>
      </c>
    </row>
    <row r="15" spans="1:6" x14ac:dyDescent="0.25">
      <c r="A15" s="17" t="s">
        <v>38</v>
      </c>
      <c r="B15" s="16">
        <v>1</v>
      </c>
      <c r="C15" s="16">
        <v>98</v>
      </c>
      <c r="D15" s="16">
        <v>866900000</v>
      </c>
      <c r="E15" s="16">
        <v>0</v>
      </c>
      <c r="F15" s="16">
        <v>866900000</v>
      </c>
    </row>
    <row r="16" spans="1:6" x14ac:dyDescent="0.25">
      <c r="A16" s="17" t="s">
        <v>39</v>
      </c>
      <c r="B16" s="16">
        <v>7</v>
      </c>
      <c r="C16" s="16">
        <v>542</v>
      </c>
      <c r="D16" s="16">
        <v>435896304</v>
      </c>
      <c r="E16" s="16">
        <v>145963219</v>
      </c>
      <c r="F16" s="16">
        <v>581859523</v>
      </c>
    </row>
    <row r="17" spans="1:6" x14ac:dyDescent="0.25">
      <c r="A17" s="17" t="s">
        <v>32</v>
      </c>
      <c r="B17" s="16">
        <v>6</v>
      </c>
      <c r="C17" s="16">
        <v>384</v>
      </c>
      <c r="D17" s="16">
        <v>157561925</v>
      </c>
      <c r="E17" s="16">
        <v>36812494</v>
      </c>
      <c r="F17" s="16">
        <v>194374419</v>
      </c>
    </row>
    <row r="18" spans="1:6" x14ac:dyDescent="0.25">
      <c r="A18" s="17" t="s">
        <v>53</v>
      </c>
      <c r="B18" s="16">
        <v>3</v>
      </c>
      <c r="C18" s="16">
        <v>328</v>
      </c>
      <c r="D18" s="16">
        <v>0</v>
      </c>
      <c r="E18" s="16">
        <v>117683073</v>
      </c>
      <c r="F18" s="16">
        <v>117683073</v>
      </c>
    </row>
    <row r="19" spans="1:6" x14ac:dyDescent="0.25">
      <c r="A19" s="17" t="s">
        <v>30</v>
      </c>
      <c r="B19" s="16">
        <v>4</v>
      </c>
      <c r="C19" s="16">
        <v>137</v>
      </c>
      <c r="D19" s="16">
        <v>12469689</v>
      </c>
      <c r="E19" s="16">
        <v>75964539</v>
      </c>
      <c r="F19" s="16">
        <v>88434228</v>
      </c>
    </row>
    <row r="20" spans="1:6" x14ac:dyDescent="0.25">
      <c r="A20" s="17" t="s">
        <v>33</v>
      </c>
      <c r="B20" s="16">
        <v>4</v>
      </c>
      <c r="C20" s="16">
        <v>320</v>
      </c>
      <c r="D20" s="16">
        <v>62622673</v>
      </c>
      <c r="E20" s="16">
        <v>0</v>
      </c>
      <c r="F20" s="16">
        <v>62622673</v>
      </c>
    </row>
    <row r="21" spans="1:6" x14ac:dyDescent="0.25">
      <c r="A21" s="17" t="s">
        <v>41</v>
      </c>
      <c r="B21" s="16">
        <v>1</v>
      </c>
      <c r="C21" s="16">
        <v>290</v>
      </c>
      <c r="D21" s="16">
        <v>0</v>
      </c>
      <c r="E21" s="16">
        <v>61281132</v>
      </c>
      <c r="F21" s="16">
        <v>61281132</v>
      </c>
    </row>
    <row r="22" spans="1:6" x14ac:dyDescent="0.25">
      <c r="A22" s="17" t="s">
        <v>42</v>
      </c>
      <c r="B22" s="16">
        <v>1</v>
      </c>
      <c r="C22" s="16">
        <v>31</v>
      </c>
      <c r="D22" s="16">
        <v>10416225</v>
      </c>
      <c r="E22" s="16">
        <v>0</v>
      </c>
      <c r="F22" s="16">
        <v>10416225</v>
      </c>
    </row>
    <row r="23" spans="1:6" x14ac:dyDescent="0.25">
      <c r="A23" s="17" t="s">
        <v>44</v>
      </c>
      <c r="B23" s="16">
        <v>1</v>
      </c>
      <c r="C23" s="16">
        <v>40</v>
      </c>
      <c r="D23" s="16">
        <v>7635000</v>
      </c>
      <c r="E23" s="16">
        <v>0</v>
      </c>
      <c r="F23" s="16">
        <v>7635000</v>
      </c>
    </row>
    <row r="24" spans="1:6" x14ac:dyDescent="0.25">
      <c r="A24" s="17" t="s">
        <v>40</v>
      </c>
      <c r="B24" s="16">
        <v>1</v>
      </c>
      <c r="C24" s="16">
        <v>0</v>
      </c>
      <c r="D24" s="16">
        <v>5725000</v>
      </c>
      <c r="E24" s="16">
        <v>0</v>
      </c>
      <c r="F24" s="16">
        <v>5725000</v>
      </c>
    </row>
    <row r="25" spans="1:6" x14ac:dyDescent="0.25">
      <c r="A25" s="17" t="s">
        <v>36</v>
      </c>
      <c r="B25" s="16">
        <v>1</v>
      </c>
      <c r="C25" s="16">
        <v>0</v>
      </c>
      <c r="D25" s="16">
        <v>0</v>
      </c>
      <c r="E25" s="16">
        <v>0</v>
      </c>
      <c r="F25" s="16">
        <v>0</v>
      </c>
    </row>
    <row r="26" spans="1:6" x14ac:dyDescent="0.25">
      <c r="A26" s="17" t="s">
        <v>29</v>
      </c>
      <c r="B26" s="16" t="s">
        <v>60</v>
      </c>
      <c r="C26" s="16" t="s">
        <v>60</v>
      </c>
      <c r="D26" s="16" t="s">
        <v>60</v>
      </c>
      <c r="E26" s="16" t="s">
        <v>60</v>
      </c>
      <c r="F26" s="16" t="s">
        <v>60</v>
      </c>
    </row>
    <row r="27" spans="1:6" x14ac:dyDescent="0.25">
      <c r="A27" s="17" t="s">
        <v>34</v>
      </c>
      <c r="B27" s="16" t="s">
        <v>60</v>
      </c>
      <c r="C27" s="16" t="s">
        <v>60</v>
      </c>
      <c r="D27" s="16" t="s">
        <v>60</v>
      </c>
      <c r="E27" s="16" t="s">
        <v>60</v>
      </c>
      <c r="F27" s="16" t="s">
        <v>60</v>
      </c>
    </row>
    <row r="28" spans="1:6" x14ac:dyDescent="0.25">
      <c r="A28" s="6" t="s">
        <v>1</v>
      </c>
      <c r="B28" s="15">
        <v>174</v>
      </c>
      <c r="C28" s="15">
        <v>99</v>
      </c>
      <c r="D28" s="15">
        <v>1871880860.5599999</v>
      </c>
      <c r="E28" s="15">
        <v>29748434</v>
      </c>
      <c r="F28" s="15">
        <v>1901629294.5599999</v>
      </c>
    </row>
    <row r="29" spans="1:6" x14ac:dyDescent="0.25">
      <c r="A29" s="17" t="s">
        <v>49</v>
      </c>
      <c r="B29" s="16">
        <v>64</v>
      </c>
      <c r="C29" s="16">
        <v>0</v>
      </c>
      <c r="D29" s="16">
        <v>1118193176.23</v>
      </c>
      <c r="E29" s="16">
        <v>0</v>
      </c>
      <c r="F29" s="16">
        <v>1118193176.23</v>
      </c>
    </row>
    <row r="30" spans="1:6" x14ac:dyDescent="0.25">
      <c r="A30" s="17" t="s">
        <v>56</v>
      </c>
      <c r="B30" s="16">
        <v>36</v>
      </c>
      <c r="C30" s="16">
        <v>39</v>
      </c>
      <c r="D30" s="16">
        <v>352327604</v>
      </c>
      <c r="E30" s="16">
        <v>24148434</v>
      </c>
      <c r="F30" s="16">
        <v>376476038</v>
      </c>
    </row>
    <row r="31" spans="1:6" x14ac:dyDescent="0.25">
      <c r="A31" s="17" t="s">
        <v>50</v>
      </c>
      <c r="B31" s="16">
        <v>0</v>
      </c>
      <c r="C31" s="16">
        <v>0</v>
      </c>
      <c r="D31" s="16">
        <v>363891160.90999997</v>
      </c>
      <c r="E31" s="16">
        <v>0</v>
      </c>
      <c r="F31" s="16">
        <v>363891160.90999997</v>
      </c>
    </row>
    <row r="32" spans="1:6" x14ac:dyDescent="0.25">
      <c r="A32" s="17" t="s">
        <v>46</v>
      </c>
      <c r="B32" s="16">
        <v>66</v>
      </c>
      <c r="C32" s="16">
        <v>16</v>
      </c>
      <c r="D32" s="16">
        <v>29192919.420000002</v>
      </c>
      <c r="E32" s="16">
        <v>5600000</v>
      </c>
      <c r="F32" s="16">
        <v>34792919.420000002</v>
      </c>
    </row>
    <row r="33" spans="1:6" x14ac:dyDescent="0.25">
      <c r="A33" s="17" t="s">
        <v>48</v>
      </c>
      <c r="B33" s="16">
        <v>1</v>
      </c>
      <c r="C33" s="16">
        <v>0</v>
      </c>
      <c r="D33" s="16">
        <v>6350000</v>
      </c>
      <c r="E33" s="16">
        <v>0</v>
      </c>
      <c r="F33" s="16">
        <v>6350000</v>
      </c>
    </row>
    <row r="34" spans="1:6" x14ac:dyDescent="0.25">
      <c r="A34" s="17" t="s">
        <v>47</v>
      </c>
      <c r="B34" s="16">
        <v>7</v>
      </c>
      <c r="C34" s="16">
        <v>44</v>
      </c>
      <c r="D34" s="16">
        <v>1926000</v>
      </c>
      <c r="E34" s="16">
        <v>0</v>
      </c>
      <c r="F34" s="16">
        <v>1926000</v>
      </c>
    </row>
    <row r="36" spans="1:6" x14ac:dyDescent="0.25">
      <c r="A36" s="2" t="s">
        <v>55</v>
      </c>
    </row>
    <row r="37" spans="1:6" x14ac:dyDescent="0.25">
      <c r="A37" s="2" t="s">
        <v>57</v>
      </c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2:G62"/>
  <sheetViews>
    <sheetView topLeftCell="A41" workbookViewId="0">
      <selection activeCell="I62" sqref="I62"/>
    </sheetView>
  </sheetViews>
  <sheetFormatPr defaultColWidth="8.7109375" defaultRowHeight="15" x14ac:dyDescent="0.25"/>
  <cols>
    <col min="1" max="1" width="22.85546875" style="7" customWidth="1"/>
    <col min="2" max="2" width="10.42578125" style="8" customWidth="1"/>
    <col min="3" max="3" width="12.28515625" style="8" bestFit="1" customWidth="1"/>
    <col min="4" max="6" width="16.140625" style="8" customWidth="1"/>
    <col min="7" max="16384" width="8.7109375" style="7"/>
  </cols>
  <sheetData>
    <row r="2" spans="1:6" ht="14.45" customHeight="1" x14ac:dyDescent="0.25">
      <c r="A2" s="9" t="s">
        <v>58</v>
      </c>
      <c r="B2" s="9"/>
      <c r="C2" s="9"/>
      <c r="D2" s="9"/>
      <c r="E2" s="9"/>
      <c r="F2" s="9"/>
    </row>
    <row r="4" spans="1:6" ht="14.45" customHeight="1" x14ac:dyDescent="0.25">
      <c r="A4" s="41" t="s">
        <v>52</v>
      </c>
      <c r="B4" s="37">
        <v>2023</v>
      </c>
      <c r="C4" s="38"/>
      <c r="D4" s="38"/>
      <c r="E4" s="38"/>
      <c r="F4" s="39"/>
    </row>
    <row r="5" spans="1:6" ht="45" x14ac:dyDescent="0.25">
      <c r="A5" s="42"/>
      <c r="B5" s="1" t="s">
        <v>3</v>
      </c>
      <c r="C5" s="1" t="s">
        <v>4</v>
      </c>
      <c r="D5" s="1" t="s">
        <v>5</v>
      </c>
      <c r="E5" s="1" t="s">
        <v>6</v>
      </c>
      <c r="F5" s="1" t="s">
        <v>23</v>
      </c>
    </row>
    <row r="6" spans="1:6" x14ac:dyDescent="0.25">
      <c r="A6" s="43" t="s">
        <v>0</v>
      </c>
      <c r="B6" s="44"/>
      <c r="C6" s="44"/>
      <c r="D6" s="44"/>
      <c r="E6" s="44"/>
      <c r="F6" s="45"/>
    </row>
    <row r="7" spans="1:6" x14ac:dyDescent="0.25">
      <c r="A7" s="10" t="s">
        <v>11</v>
      </c>
      <c r="B7" s="12">
        <v>27</v>
      </c>
      <c r="C7" s="12">
        <v>86</v>
      </c>
      <c r="D7" s="12">
        <v>3618657798.02</v>
      </c>
      <c r="E7" s="12">
        <v>1227460750</v>
      </c>
      <c r="F7" s="12">
        <v>4846118548.0200005</v>
      </c>
    </row>
    <row r="8" spans="1:6" x14ac:dyDescent="0.25">
      <c r="A8" s="10" t="s">
        <v>7</v>
      </c>
      <c r="B8" s="12">
        <v>8</v>
      </c>
      <c r="C8" s="12">
        <v>116</v>
      </c>
      <c r="D8" s="12">
        <v>1938712350</v>
      </c>
      <c r="E8" s="12">
        <v>113460000</v>
      </c>
      <c r="F8" s="12">
        <v>2052172350</v>
      </c>
    </row>
    <row r="9" spans="1:6" x14ac:dyDescent="0.25">
      <c r="A9" s="10" t="s">
        <v>15</v>
      </c>
      <c r="B9" s="12">
        <v>2</v>
      </c>
      <c r="C9" s="12">
        <v>22</v>
      </c>
      <c r="D9" s="12">
        <v>80000000</v>
      </c>
      <c r="E9" s="12">
        <v>0</v>
      </c>
      <c r="F9" s="12">
        <v>80000000</v>
      </c>
    </row>
    <row r="10" spans="1:6" x14ac:dyDescent="0.25">
      <c r="A10" s="10" t="s">
        <v>16</v>
      </c>
      <c r="B10" s="12">
        <v>6</v>
      </c>
      <c r="C10" s="12">
        <v>110</v>
      </c>
      <c r="D10" s="12">
        <v>26687703.240000002</v>
      </c>
      <c r="E10" s="12">
        <v>0</v>
      </c>
      <c r="F10" s="12">
        <v>26687703.240000002</v>
      </c>
    </row>
    <row r="11" spans="1:6" x14ac:dyDescent="0.25">
      <c r="A11" s="10" t="s">
        <v>9</v>
      </c>
      <c r="B11" s="12">
        <v>8</v>
      </c>
      <c r="C11" s="12">
        <v>212</v>
      </c>
      <c r="D11" s="12">
        <v>24426029.800000001</v>
      </c>
      <c r="E11" s="12">
        <v>0</v>
      </c>
      <c r="F11" s="12">
        <v>24426029.800000001</v>
      </c>
    </row>
    <row r="12" spans="1:6" x14ac:dyDescent="0.25">
      <c r="A12" s="10" t="s">
        <v>12</v>
      </c>
      <c r="B12" s="12">
        <v>3</v>
      </c>
      <c r="C12" s="12">
        <v>0</v>
      </c>
      <c r="D12" s="12">
        <v>12061700</v>
      </c>
      <c r="E12" s="12">
        <v>0</v>
      </c>
      <c r="F12" s="12">
        <v>12061700</v>
      </c>
    </row>
    <row r="13" spans="1:6" x14ac:dyDescent="0.25">
      <c r="A13" s="10" t="s">
        <v>18</v>
      </c>
      <c r="B13" s="12">
        <v>3</v>
      </c>
      <c r="C13" s="12">
        <v>0</v>
      </c>
      <c r="D13" s="12">
        <v>11505800</v>
      </c>
      <c r="E13" s="12">
        <v>0</v>
      </c>
      <c r="F13" s="12">
        <v>11505800</v>
      </c>
    </row>
    <row r="14" spans="1:6" x14ac:dyDescent="0.25">
      <c r="A14" s="10" t="s">
        <v>13</v>
      </c>
      <c r="B14" s="12">
        <v>3</v>
      </c>
      <c r="C14" s="12">
        <v>57</v>
      </c>
      <c r="D14" s="12">
        <v>4201020</v>
      </c>
      <c r="E14" s="12">
        <v>0</v>
      </c>
      <c r="F14" s="12">
        <v>4201020</v>
      </c>
    </row>
    <row r="15" spans="1:6" x14ac:dyDescent="0.25">
      <c r="A15" s="10" t="s">
        <v>8</v>
      </c>
      <c r="B15" s="12">
        <v>1</v>
      </c>
      <c r="C15" s="12">
        <v>11</v>
      </c>
      <c r="D15" s="12">
        <v>3507300</v>
      </c>
      <c r="E15" s="12">
        <v>0</v>
      </c>
      <c r="F15" s="12">
        <v>3507300</v>
      </c>
    </row>
    <row r="16" spans="1:6" x14ac:dyDescent="0.25">
      <c r="A16" s="21" t="s">
        <v>10</v>
      </c>
      <c r="B16" s="20">
        <v>1</v>
      </c>
      <c r="C16" s="20">
        <v>11</v>
      </c>
      <c r="D16" s="20">
        <v>983437</v>
      </c>
      <c r="E16" s="20">
        <v>0</v>
      </c>
      <c r="F16" s="20">
        <v>983437</v>
      </c>
    </row>
    <row r="17" spans="1:7" x14ac:dyDescent="0.25">
      <c r="A17" s="10" t="s">
        <v>14</v>
      </c>
      <c r="B17" s="12">
        <v>1</v>
      </c>
      <c r="C17" s="12">
        <v>27</v>
      </c>
      <c r="D17" s="12">
        <v>609415.80000000005</v>
      </c>
      <c r="E17" s="12">
        <v>0</v>
      </c>
      <c r="F17" s="12">
        <v>609415.80000000005</v>
      </c>
    </row>
    <row r="18" spans="1:7" x14ac:dyDescent="0.25">
      <c r="A18" s="10" t="s">
        <v>17</v>
      </c>
      <c r="B18" s="12">
        <v>1</v>
      </c>
      <c r="C18" s="12">
        <v>9</v>
      </c>
      <c r="D18" s="12">
        <v>563125</v>
      </c>
      <c r="E18" s="12">
        <v>0</v>
      </c>
      <c r="F18" s="12">
        <v>563125</v>
      </c>
    </row>
    <row r="19" spans="1:7" x14ac:dyDescent="0.25">
      <c r="A19" s="10" t="s">
        <v>21</v>
      </c>
      <c r="B19" s="12">
        <v>0</v>
      </c>
      <c r="C19" s="12">
        <v>0</v>
      </c>
      <c r="D19" s="12">
        <v>17500</v>
      </c>
      <c r="E19" s="12">
        <v>0</v>
      </c>
      <c r="F19" s="12">
        <v>17500</v>
      </c>
    </row>
    <row r="20" spans="1:7" x14ac:dyDescent="0.25">
      <c r="A20" s="10" t="s">
        <v>22</v>
      </c>
      <c r="B20" s="12" t="s">
        <v>60</v>
      </c>
      <c r="C20" s="12" t="s">
        <v>60</v>
      </c>
      <c r="D20" s="12" t="s">
        <v>60</v>
      </c>
      <c r="E20" s="12" t="s">
        <v>60</v>
      </c>
      <c r="F20" s="12" t="s">
        <v>60</v>
      </c>
    </row>
    <row r="21" spans="1:7" x14ac:dyDescent="0.25">
      <c r="A21" s="10" t="s">
        <v>54</v>
      </c>
      <c r="B21" s="12">
        <v>11</v>
      </c>
      <c r="C21" s="12">
        <v>0</v>
      </c>
      <c r="D21" s="12">
        <v>1351027698.5699999</v>
      </c>
      <c r="E21" s="12">
        <v>636385000</v>
      </c>
      <c r="F21" s="12">
        <v>1987412698.5700002</v>
      </c>
    </row>
    <row r="22" spans="1:7" x14ac:dyDescent="0.25">
      <c r="A22" s="14" t="s">
        <v>24</v>
      </c>
      <c r="B22" s="14">
        <f>SUM(B7:B21)</f>
        <v>75</v>
      </c>
      <c r="C22" s="14">
        <f t="shared" ref="C22:F22" si="0">SUM(C7:C21)</f>
        <v>661</v>
      </c>
      <c r="D22" s="14">
        <f t="shared" si="0"/>
        <v>7072960877.4300003</v>
      </c>
      <c r="E22" s="14">
        <f t="shared" si="0"/>
        <v>1977305750</v>
      </c>
      <c r="F22" s="14">
        <f t="shared" si="0"/>
        <v>9050266627.4300003</v>
      </c>
    </row>
    <row r="23" spans="1:7" x14ac:dyDescent="0.25">
      <c r="A23" s="24"/>
      <c r="B23" s="24"/>
      <c r="C23" s="24"/>
      <c r="D23" s="24"/>
      <c r="E23" s="24"/>
      <c r="F23" s="24"/>
      <c r="G23" s="25"/>
    </row>
    <row r="24" spans="1:7" x14ac:dyDescent="0.25">
      <c r="A24" s="40" t="s">
        <v>2</v>
      </c>
      <c r="B24" s="40"/>
      <c r="C24" s="40"/>
      <c r="D24" s="40"/>
      <c r="E24" s="40"/>
      <c r="F24" s="40"/>
    </row>
    <row r="25" spans="1:7" x14ac:dyDescent="0.25">
      <c r="A25" s="10" t="s">
        <v>21</v>
      </c>
      <c r="B25" s="12">
        <v>149</v>
      </c>
      <c r="C25" s="12">
        <v>17623</v>
      </c>
      <c r="D25" s="12">
        <v>3285734631</v>
      </c>
      <c r="E25" s="12">
        <v>60134899445</v>
      </c>
      <c r="F25" s="12">
        <v>63420634076</v>
      </c>
    </row>
    <row r="26" spans="1:7" x14ac:dyDescent="0.25">
      <c r="A26" s="21" t="s">
        <v>10</v>
      </c>
      <c r="B26" s="20">
        <v>63</v>
      </c>
      <c r="C26" s="20">
        <v>9627</v>
      </c>
      <c r="D26" s="20">
        <v>2775275621</v>
      </c>
      <c r="E26" s="20">
        <v>24050147559</v>
      </c>
      <c r="F26" s="20">
        <v>26825423180</v>
      </c>
    </row>
    <row r="27" spans="1:7" x14ac:dyDescent="0.25">
      <c r="A27" s="10" t="s">
        <v>9</v>
      </c>
      <c r="B27" s="12">
        <v>234</v>
      </c>
      <c r="C27" s="12">
        <v>12568</v>
      </c>
      <c r="D27" s="12">
        <v>5634286972</v>
      </c>
      <c r="E27" s="12">
        <v>13675052355</v>
      </c>
      <c r="F27" s="12">
        <v>19309339327</v>
      </c>
    </row>
    <row r="28" spans="1:7" x14ac:dyDescent="0.25">
      <c r="A28" s="10" t="s">
        <v>8</v>
      </c>
      <c r="B28" s="12">
        <v>243</v>
      </c>
      <c r="C28" s="12">
        <v>17171</v>
      </c>
      <c r="D28" s="12">
        <v>5183528862</v>
      </c>
      <c r="E28" s="12">
        <v>9433809321</v>
      </c>
      <c r="F28" s="12">
        <v>14617338183</v>
      </c>
    </row>
    <row r="29" spans="1:7" x14ac:dyDescent="0.25">
      <c r="A29" s="10" t="s">
        <v>11</v>
      </c>
      <c r="B29" s="12">
        <v>28</v>
      </c>
      <c r="C29" s="12">
        <v>2241</v>
      </c>
      <c r="D29" s="12">
        <v>1112782777</v>
      </c>
      <c r="E29" s="12">
        <v>6586313854</v>
      </c>
      <c r="F29" s="12">
        <v>7699096631</v>
      </c>
    </row>
    <row r="30" spans="1:7" x14ac:dyDescent="0.25">
      <c r="A30" s="10" t="s">
        <v>22</v>
      </c>
      <c r="B30" s="12">
        <v>38</v>
      </c>
      <c r="C30" s="12">
        <v>3146</v>
      </c>
      <c r="D30" s="12">
        <v>1589732190</v>
      </c>
      <c r="E30" s="12">
        <v>6011947375</v>
      </c>
      <c r="F30" s="12">
        <v>7601679565</v>
      </c>
    </row>
    <row r="31" spans="1:7" x14ac:dyDescent="0.25">
      <c r="A31" s="10" t="s">
        <v>13</v>
      </c>
      <c r="B31" s="12">
        <v>25</v>
      </c>
      <c r="C31" s="12">
        <v>3459</v>
      </c>
      <c r="D31" s="12">
        <v>555016243</v>
      </c>
      <c r="E31" s="12">
        <v>2765612245</v>
      </c>
      <c r="F31" s="12">
        <v>3320628488</v>
      </c>
    </row>
    <row r="32" spans="1:7" x14ac:dyDescent="0.25">
      <c r="A32" s="10" t="s">
        <v>16</v>
      </c>
      <c r="B32" s="12">
        <v>10</v>
      </c>
      <c r="C32" s="12">
        <v>3123</v>
      </c>
      <c r="D32" s="12">
        <v>366462225</v>
      </c>
      <c r="E32" s="12">
        <v>2907663139</v>
      </c>
      <c r="F32" s="12">
        <v>3274125364</v>
      </c>
    </row>
    <row r="33" spans="1:6" x14ac:dyDescent="0.25">
      <c r="A33" s="10" t="s">
        <v>12</v>
      </c>
      <c r="B33" s="12">
        <v>43</v>
      </c>
      <c r="C33" s="12">
        <v>2857</v>
      </c>
      <c r="D33" s="12">
        <v>800122719</v>
      </c>
      <c r="E33" s="12">
        <v>1970500880</v>
      </c>
      <c r="F33" s="12">
        <v>2770623599</v>
      </c>
    </row>
    <row r="34" spans="1:6" x14ac:dyDescent="0.25">
      <c r="A34" s="10" t="s">
        <v>7</v>
      </c>
      <c r="B34" s="12">
        <v>19</v>
      </c>
      <c r="C34" s="12">
        <v>876</v>
      </c>
      <c r="D34" s="12">
        <v>1493399051</v>
      </c>
      <c r="E34" s="12">
        <v>16635996</v>
      </c>
      <c r="F34" s="12">
        <v>1510035047</v>
      </c>
    </row>
    <row r="35" spans="1:6" x14ac:dyDescent="0.25">
      <c r="A35" s="10" t="s">
        <v>14</v>
      </c>
      <c r="B35" s="12">
        <v>15</v>
      </c>
      <c r="C35" s="12">
        <v>637</v>
      </c>
      <c r="D35" s="12">
        <v>494560076</v>
      </c>
      <c r="E35" s="12">
        <v>885666403</v>
      </c>
      <c r="F35" s="12">
        <v>1380226479</v>
      </c>
    </row>
    <row r="36" spans="1:6" x14ac:dyDescent="0.25">
      <c r="A36" s="10" t="s">
        <v>18</v>
      </c>
      <c r="B36" s="12">
        <v>11</v>
      </c>
      <c r="C36" s="12">
        <v>462</v>
      </c>
      <c r="D36" s="12">
        <v>168926919</v>
      </c>
      <c r="E36" s="12">
        <v>0</v>
      </c>
      <c r="F36" s="12">
        <v>168926919</v>
      </c>
    </row>
    <row r="37" spans="1:6" x14ac:dyDescent="0.25">
      <c r="A37" s="10" t="s">
        <v>17</v>
      </c>
      <c r="B37" s="12">
        <v>5</v>
      </c>
      <c r="C37" s="12">
        <v>149</v>
      </c>
      <c r="D37" s="12">
        <v>69672753</v>
      </c>
      <c r="E37" s="12">
        <v>0</v>
      </c>
      <c r="F37" s="12">
        <v>69672753</v>
      </c>
    </row>
    <row r="38" spans="1:6" x14ac:dyDescent="0.25">
      <c r="A38" s="10" t="s">
        <v>19</v>
      </c>
      <c r="B38" s="12" t="s">
        <v>60</v>
      </c>
      <c r="C38" s="12" t="s">
        <v>60</v>
      </c>
      <c r="D38" s="12" t="s">
        <v>60</v>
      </c>
      <c r="E38" s="12" t="s">
        <v>60</v>
      </c>
      <c r="F38" s="12" t="s">
        <v>60</v>
      </c>
    </row>
    <row r="39" spans="1:6" x14ac:dyDescent="0.25">
      <c r="A39" s="14" t="s">
        <v>24</v>
      </c>
      <c r="B39" s="14">
        <f>SUM(B25:B38)</f>
        <v>883</v>
      </c>
      <c r="C39" s="14">
        <f t="shared" ref="C39:F39" si="1">SUM(C25:C38)</f>
        <v>73939</v>
      </c>
      <c r="D39" s="14">
        <f t="shared" si="1"/>
        <v>23529501039</v>
      </c>
      <c r="E39" s="14">
        <f t="shared" si="1"/>
        <v>128438248572</v>
      </c>
      <c r="F39" s="14">
        <f t="shared" si="1"/>
        <v>151967749611</v>
      </c>
    </row>
    <row r="40" spans="1:6" x14ac:dyDescent="0.25">
      <c r="A40" s="22"/>
      <c r="B40" s="23"/>
      <c r="C40" s="23"/>
      <c r="D40" s="23"/>
      <c r="E40" s="23"/>
      <c r="F40" s="23"/>
    </row>
    <row r="41" spans="1:6" x14ac:dyDescent="0.25">
      <c r="A41" s="40" t="s">
        <v>1</v>
      </c>
      <c r="B41" s="40"/>
      <c r="C41" s="40"/>
      <c r="D41" s="40"/>
      <c r="E41" s="40"/>
      <c r="F41" s="40"/>
    </row>
    <row r="42" spans="1:6" x14ac:dyDescent="0.25">
      <c r="A42" s="10" t="s">
        <v>17</v>
      </c>
      <c r="B42" s="12">
        <v>762</v>
      </c>
      <c r="C42" s="12">
        <v>25526</v>
      </c>
      <c r="D42" s="12">
        <v>27719830527.989529</v>
      </c>
      <c r="E42" s="12">
        <v>30559704435.560474</v>
      </c>
      <c r="F42" s="12">
        <v>58279534963.549995</v>
      </c>
    </row>
    <row r="43" spans="1:6" x14ac:dyDescent="0.25">
      <c r="A43" s="11" t="s">
        <v>9</v>
      </c>
      <c r="B43" s="13">
        <v>1077</v>
      </c>
      <c r="C43" s="13">
        <v>20305</v>
      </c>
      <c r="D43" s="13">
        <v>32267313649.061417</v>
      </c>
      <c r="E43" s="13">
        <v>3662328301.8086004</v>
      </c>
      <c r="F43" s="13">
        <v>35929641950.870018</v>
      </c>
    </row>
    <row r="44" spans="1:6" x14ac:dyDescent="0.25">
      <c r="A44" s="11" t="s">
        <v>8</v>
      </c>
      <c r="B44" s="13">
        <v>507</v>
      </c>
      <c r="C44" s="13">
        <v>1871</v>
      </c>
      <c r="D44" s="13">
        <v>6866686449.2199993</v>
      </c>
      <c r="E44" s="13">
        <v>21568347654.52</v>
      </c>
      <c r="F44" s="13">
        <v>28435034103.739998</v>
      </c>
    </row>
    <row r="45" spans="1:6" x14ac:dyDescent="0.25">
      <c r="A45" s="10" t="s">
        <v>11</v>
      </c>
      <c r="B45" s="12">
        <v>212</v>
      </c>
      <c r="C45" s="12">
        <v>165</v>
      </c>
      <c r="D45" s="12">
        <v>8771170216.8999996</v>
      </c>
      <c r="E45" s="12">
        <v>954208</v>
      </c>
      <c r="F45" s="12">
        <v>8772124424.8999996</v>
      </c>
    </row>
    <row r="46" spans="1:6" x14ac:dyDescent="0.25">
      <c r="A46" s="10" t="s">
        <v>21</v>
      </c>
      <c r="B46" s="12">
        <v>266</v>
      </c>
      <c r="C46" s="12">
        <v>3078</v>
      </c>
      <c r="D46" s="12">
        <v>6944853062.7200003</v>
      </c>
      <c r="E46" s="12">
        <v>1516364934.8</v>
      </c>
      <c r="F46" s="12">
        <v>8461217997.5200005</v>
      </c>
    </row>
    <row r="47" spans="1:6" x14ac:dyDescent="0.25">
      <c r="A47" s="10" t="s">
        <v>7</v>
      </c>
      <c r="B47" s="12">
        <v>99</v>
      </c>
      <c r="C47" s="12">
        <v>169</v>
      </c>
      <c r="D47" s="12">
        <v>7781434530.1999998</v>
      </c>
      <c r="E47" s="12">
        <v>2650100</v>
      </c>
      <c r="F47" s="12">
        <v>7784084630.1999998</v>
      </c>
    </row>
    <row r="48" spans="1:6" x14ac:dyDescent="0.25">
      <c r="A48" s="10" t="s">
        <v>12</v>
      </c>
      <c r="B48" s="12">
        <v>310</v>
      </c>
      <c r="C48" s="12">
        <v>727</v>
      </c>
      <c r="D48" s="12">
        <v>5592278348.6300011</v>
      </c>
      <c r="E48" s="12">
        <v>129892609</v>
      </c>
      <c r="F48" s="12">
        <v>5722170957.6300011</v>
      </c>
    </row>
    <row r="49" spans="1:6" x14ac:dyDescent="0.25">
      <c r="A49" s="10" t="s">
        <v>13</v>
      </c>
      <c r="B49" s="12">
        <v>161</v>
      </c>
      <c r="C49" s="12">
        <v>154</v>
      </c>
      <c r="D49" s="12">
        <v>2681015597.6799998</v>
      </c>
      <c r="E49" s="12">
        <v>1802511</v>
      </c>
      <c r="F49" s="12">
        <v>2682818108.6799998</v>
      </c>
    </row>
    <row r="50" spans="1:6" x14ac:dyDescent="0.25">
      <c r="A50" s="10" t="s">
        <v>22</v>
      </c>
      <c r="B50" s="12">
        <v>151</v>
      </c>
      <c r="C50" s="12">
        <v>104</v>
      </c>
      <c r="D50" s="12">
        <v>2463962614.3699999</v>
      </c>
      <c r="E50" s="12">
        <v>25561538</v>
      </c>
      <c r="F50" s="12">
        <v>2489524152.3699999</v>
      </c>
    </row>
    <row r="51" spans="1:6" x14ac:dyDescent="0.25">
      <c r="A51" s="21" t="s">
        <v>10</v>
      </c>
      <c r="B51" s="20">
        <v>174</v>
      </c>
      <c r="C51" s="20">
        <v>99</v>
      </c>
      <c r="D51" s="20">
        <v>1871880860.5599999</v>
      </c>
      <c r="E51" s="20">
        <v>29748434</v>
      </c>
      <c r="F51" s="20">
        <v>1901629294.5599999</v>
      </c>
    </row>
    <row r="52" spans="1:6" x14ac:dyDescent="0.25">
      <c r="A52" s="10" t="s">
        <v>14</v>
      </c>
      <c r="B52" s="12">
        <v>149</v>
      </c>
      <c r="C52" s="12">
        <v>78</v>
      </c>
      <c r="D52" s="12">
        <v>1592699377.78</v>
      </c>
      <c r="E52" s="12">
        <v>1831263</v>
      </c>
      <c r="F52" s="12">
        <v>1594530640.78</v>
      </c>
    </row>
    <row r="53" spans="1:6" x14ac:dyDescent="0.25">
      <c r="A53" s="11" t="s">
        <v>20</v>
      </c>
      <c r="B53" s="13">
        <v>29</v>
      </c>
      <c r="C53" s="13">
        <v>183</v>
      </c>
      <c r="D53" s="13">
        <v>1016670910.8999999</v>
      </c>
      <c r="E53" s="13">
        <v>1000000</v>
      </c>
      <c r="F53" s="13">
        <v>1017670910.8999999</v>
      </c>
    </row>
    <row r="54" spans="1:6" x14ac:dyDescent="0.25">
      <c r="A54" s="10" t="s">
        <v>18</v>
      </c>
      <c r="B54" s="12">
        <v>73</v>
      </c>
      <c r="C54" s="12">
        <v>35</v>
      </c>
      <c r="D54" s="12">
        <v>1001660872.7199999</v>
      </c>
      <c r="E54" s="12">
        <v>50100</v>
      </c>
      <c r="F54" s="12">
        <v>1001710972.7199999</v>
      </c>
    </row>
    <row r="55" spans="1:6" x14ac:dyDescent="0.25">
      <c r="A55" s="10" t="s">
        <v>19</v>
      </c>
      <c r="B55" s="12">
        <v>31</v>
      </c>
      <c r="C55" s="12">
        <v>214</v>
      </c>
      <c r="D55" s="12">
        <v>85291966.900000006</v>
      </c>
      <c r="E55" s="12">
        <v>449355536.89999998</v>
      </c>
      <c r="F55" s="12">
        <v>534647503.80000001</v>
      </c>
    </row>
    <row r="56" spans="1:6" x14ac:dyDescent="0.25">
      <c r="A56" s="10" t="s">
        <v>16</v>
      </c>
      <c r="B56" s="12">
        <v>36</v>
      </c>
      <c r="C56" s="12">
        <v>20</v>
      </c>
      <c r="D56" s="12">
        <v>448114132.99000001</v>
      </c>
      <c r="E56" s="12">
        <v>0</v>
      </c>
      <c r="F56" s="12">
        <v>448114132.99000001</v>
      </c>
    </row>
    <row r="57" spans="1:6" x14ac:dyDescent="0.25">
      <c r="A57" s="10" t="s">
        <v>15</v>
      </c>
      <c r="B57" s="12">
        <v>26</v>
      </c>
      <c r="C57" s="12">
        <v>4</v>
      </c>
      <c r="D57" s="12">
        <v>108105635.66</v>
      </c>
      <c r="E57" s="12">
        <v>290000</v>
      </c>
      <c r="F57" s="12">
        <v>108395635.66</v>
      </c>
    </row>
    <row r="58" spans="1:6" x14ac:dyDescent="0.25">
      <c r="A58" s="10" t="s">
        <v>54</v>
      </c>
      <c r="B58" s="12">
        <v>80</v>
      </c>
      <c r="C58" s="12">
        <v>0</v>
      </c>
      <c r="D58" s="12">
        <v>3243380000</v>
      </c>
      <c r="E58" s="12">
        <v>0</v>
      </c>
      <c r="F58" s="12">
        <v>3243380000</v>
      </c>
    </row>
    <row r="59" spans="1:6" x14ac:dyDescent="0.25">
      <c r="A59" s="14" t="s">
        <v>24</v>
      </c>
      <c r="B59" s="14">
        <f>SUM(B42:B58)</f>
        <v>4143</v>
      </c>
      <c r="C59" s="14">
        <f t="shared" ref="C59:F59" si="2">SUM(C42:C58)</f>
        <v>52732</v>
      </c>
      <c r="D59" s="14">
        <f t="shared" si="2"/>
        <v>110456348754.28093</v>
      </c>
      <c r="E59" s="14">
        <f t="shared" si="2"/>
        <v>57949881626.589081</v>
      </c>
      <c r="F59" s="14">
        <f t="shared" si="2"/>
        <v>168406230380.86996</v>
      </c>
    </row>
    <row r="61" spans="1:6" x14ac:dyDescent="0.25">
      <c r="A61" s="2" t="s">
        <v>55</v>
      </c>
    </row>
    <row r="62" spans="1:6" x14ac:dyDescent="0.25">
      <c r="A62" s="2" t="s">
        <v>57</v>
      </c>
    </row>
  </sheetData>
  <mergeCells count="5">
    <mergeCell ref="A41:F41"/>
    <mergeCell ref="A4:A5"/>
    <mergeCell ref="B4:F4"/>
    <mergeCell ref="A6:F6"/>
    <mergeCell ref="A24:F2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Country (Services))</vt:lpstr>
      <vt:lpstr>By Country (Manufacturing)</vt:lpstr>
      <vt:lpstr>By Ind (Various Sector)</vt:lpstr>
      <vt:lpstr>By State Various Sector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Amirah Zolkepali</dc:creator>
  <cp:lastModifiedBy>INVEST</cp:lastModifiedBy>
  <cp:lastPrinted>2023-02-17T01:07:46Z</cp:lastPrinted>
  <dcterms:created xsi:type="dcterms:W3CDTF">2014-12-05T01:30:12Z</dcterms:created>
  <dcterms:modified xsi:type="dcterms:W3CDTF">2024-10-30T03:56:38Z</dcterms:modified>
</cp:coreProperties>
</file>