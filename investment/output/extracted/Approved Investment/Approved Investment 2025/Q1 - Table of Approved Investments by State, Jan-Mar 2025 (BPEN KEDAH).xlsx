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ani binti Saad\Documents\Approval 2025\"/>
    </mc:Choice>
  </mc:AlternateContent>
  <xr:revisionPtr revIDLastSave="0" documentId="13_ncr:1_{A10A4E90-0066-45E9-B403-DBCD92AC1F4A}" xr6:coauthVersionLast="36" xr6:coauthVersionMax="36" xr10:uidLastSave="{00000000-0000-0000-0000-000000000000}"/>
  <bookViews>
    <workbookView xWindow="0" yWindow="0" windowWidth="19200" windowHeight="8010" tabRatio="752" firstSheet="2" activeTab="5" xr2:uid="{00000000-000D-0000-FFFF-FFFF00000000}"/>
  </bookViews>
  <sheets>
    <sheet name="By Location (Manufacturing) " sheetId="19" r:id="rId1"/>
    <sheet name="By Country (Manufacturing)" sheetId="18" r:id="rId2"/>
    <sheet name="By Industry (Services)" sheetId="17" r:id="rId3"/>
    <sheet name="By Industry (Manufacturing)" sheetId="16" r:id="rId4"/>
    <sheet name="Detail of Various Sec (Ranking " sheetId="14" r:id="rId5"/>
    <sheet name="By State (Ranking)" sheetId="15" r:id="rId6"/>
  </sheets>
  <definedNames>
    <definedName name="_xlnm._FilterDatabase" localSheetId="1" hidden="1">'By Country (Manufacturing)'!$A$5:$D$7</definedName>
    <definedName name="_xlnm._FilterDatabase" localSheetId="3" hidden="1">'By Industry (Manufacturing)'!$A$5:$F$10</definedName>
    <definedName name="_xlnm._FilterDatabase" localSheetId="2" hidden="1">'By Industry (Services)'!$A$5:$F$10</definedName>
    <definedName name="_xlnm._FilterDatabase" localSheetId="0" hidden="1">'By Location (Manufacturing) '!$A$5:$F$14</definedName>
  </definedNames>
  <calcPr calcId="191029"/>
</workbook>
</file>

<file path=xl/calcChain.xml><?xml version="1.0" encoding="utf-8"?>
<calcChain xmlns="http://schemas.openxmlformats.org/spreadsheetml/2006/main">
  <c r="F14" i="19" l="1"/>
  <c r="F13" i="19"/>
  <c r="F12" i="19"/>
  <c r="F11" i="19"/>
  <c r="F10" i="19"/>
  <c r="F9" i="19"/>
  <c r="F8" i="19"/>
  <c r="F7" i="19"/>
  <c r="F6" i="19"/>
  <c r="F15" i="19"/>
  <c r="E15" i="19"/>
  <c r="D15" i="19"/>
  <c r="C15" i="19"/>
  <c r="B15" i="19"/>
  <c r="C8" i="18"/>
  <c r="D8" i="18"/>
</calcChain>
</file>

<file path=xl/sharedStrings.xml><?xml version="1.0" encoding="utf-8"?>
<sst xmlns="http://schemas.openxmlformats.org/spreadsheetml/2006/main" count="154" uniqueCount="66">
  <si>
    <t>No. of Projects</t>
  </si>
  <si>
    <t>Employment</t>
  </si>
  <si>
    <t>State</t>
  </si>
  <si>
    <t>Sabah</t>
  </si>
  <si>
    <t>Johor</t>
  </si>
  <si>
    <t>Selangor</t>
  </si>
  <si>
    <t>Kedah</t>
  </si>
  <si>
    <t>Sarawak</t>
  </si>
  <si>
    <t>Perak</t>
  </si>
  <si>
    <t>Melaka</t>
  </si>
  <si>
    <t>Pahang</t>
  </si>
  <si>
    <t>Perlis</t>
  </si>
  <si>
    <t>Terengganu</t>
  </si>
  <si>
    <t>Kelantan</t>
  </si>
  <si>
    <t>Pulau Pinang</t>
  </si>
  <si>
    <t>Negeri Sembilan</t>
  </si>
  <si>
    <t>Total</t>
  </si>
  <si>
    <t>Note * : Proposed state details not available</t>
  </si>
  <si>
    <t>-</t>
  </si>
  <si>
    <t>Chemicals &amp; Chemical Products</t>
  </si>
  <si>
    <t>Electrical &amp; Electronics</t>
  </si>
  <si>
    <t>Non-Metallic Mineral Products</t>
  </si>
  <si>
    <t>Transport Equipment</t>
  </si>
  <si>
    <t>Wood &amp; Wood Products</t>
  </si>
  <si>
    <t>Distributive Trade</t>
  </si>
  <si>
    <t>Real Estate</t>
  </si>
  <si>
    <t>Support Services</t>
  </si>
  <si>
    <t>Transport Services</t>
  </si>
  <si>
    <t>Information and Communications</t>
  </si>
  <si>
    <t>Total
Investment
(RM)</t>
  </si>
  <si>
    <t>Domestic
Investment
(RM)</t>
  </si>
  <si>
    <t>Foreign
Investment
(RM)</t>
  </si>
  <si>
    <t xml:space="preserve">       ** : Includes data compiled under MIDA's purview and from various other ministries and agencies</t>
  </si>
  <si>
    <r>
      <t>Undecided</t>
    </r>
    <r>
      <rPr>
        <sz val="11"/>
        <color rgb="FFFF0000"/>
        <rFont val="Arial"/>
        <family val="2"/>
      </rPr>
      <t>*</t>
    </r>
  </si>
  <si>
    <t>Main Sector and State</t>
  </si>
  <si>
    <t>Wilayah Persekutuan Kuala Lumpur</t>
  </si>
  <si>
    <t>Wilayah Persekutuan Putrajaya</t>
  </si>
  <si>
    <t>Wilayah Persekutuan Labuan</t>
  </si>
  <si>
    <t>Jan-Mar, 2025</t>
  </si>
  <si>
    <t xml:space="preserve">     (R) : Revised figures</t>
  </si>
  <si>
    <r>
      <t>TABLE OF APPROVED INVESTMENTS IN VARIOUS ECONOMIC SECTORS</t>
    </r>
    <r>
      <rPr>
        <b/>
        <sz val="11"/>
        <color rgb="FFFF0000"/>
        <rFont val="Arial"/>
        <family val="2"/>
      </rPr>
      <t>**</t>
    </r>
    <r>
      <rPr>
        <b/>
        <sz val="11"/>
        <color theme="1"/>
        <rFont val="Arial"/>
        <family val="2"/>
      </rPr>
      <t xml:space="preserve"> BY STATE, JAN-MARCH 2025</t>
    </r>
  </si>
  <si>
    <t>Industry</t>
  </si>
  <si>
    <t>TABLE OF APPROVED INVESTMENTS IN KEDAH BY INDUSTRY (MANUFACTURING) IN KEDAH , JAN-MARCH 2025</t>
  </si>
  <si>
    <t>TABLE OF APPROVED INVESTMENTS IN KEDAH BY INDUSTRY (SERVICES), JAN-MARCH 2025</t>
  </si>
  <si>
    <t>No :3</t>
  </si>
  <si>
    <t>No :11</t>
  </si>
  <si>
    <r>
      <t>RANKING IN VARIOUS ECONOMIC SECTORS</t>
    </r>
    <r>
      <rPr>
        <b/>
        <sz val="11"/>
        <color rgb="FFFF0000"/>
        <rFont val="Arial"/>
        <family val="2"/>
      </rPr>
      <t>**</t>
    </r>
    <r>
      <rPr>
        <b/>
        <sz val="11"/>
        <color theme="1"/>
        <rFont val="Arial"/>
        <family val="2"/>
      </rPr>
      <t xml:space="preserve"> BY MAIN SECTOR AND STATE, JAN-MARCH 2025</t>
    </r>
  </si>
  <si>
    <t>No.6</t>
  </si>
  <si>
    <t>Country</t>
  </si>
  <si>
    <t>Singapore</t>
  </si>
  <si>
    <t>The People's of Republic of China</t>
  </si>
  <si>
    <t>Total Foreign
Investment
(RM)</t>
  </si>
  <si>
    <t>Bakar Arang IE</t>
  </si>
  <si>
    <t>Gurun IE</t>
  </si>
  <si>
    <t>Kulim High Tech Ind. Park</t>
  </si>
  <si>
    <t>Kulim IE</t>
  </si>
  <si>
    <t>Lunas</t>
  </si>
  <si>
    <t>Padang Meha IE</t>
  </si>
  <si>
    <t>Padang Serai</t>
  </si>
  <si>
    <t>Sungai Petani</t>
  </si>
  <si>
    <t>Taman Makmur IE</t>
  </si>
  <si>
    <t>TABLE OF APPROVED INVESTMENTS IN KEDAH BY COUNTRY (MANUFACTURING), JAN-MARCH 2025</t>
  </si>
  <si>
    <t>TABLE OF APPROVED INVESTMENTS IN KEDAH BY LOCATION (MANUFACTURING), JAN-MARCH 2025</t>
  </si>
  <si>
    <t>i.Primary</t>
  </si>
  <si>
    <t>ii.Manufacturing</t>
  </si>
  <si>
    <t>iii.Services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</si>
</sst>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rgb="FF000000"/>
      <name val="Arial Unicode MS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3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3" fontId="1" fillId="5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indent="1"/>
    </xf>
    <xf numFmtId="0" fontId="2" fillId="0" borderId="0" xfId="0" applyFont="1" applyFill="1"/>
    <xf numFmtId="3" fontId="1" fillId="4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indent="2"/>
    </xf>
    <xf numFmtId="0" fontId="1" fillId="4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3" fontId="1" fillId="6" borderId="1" xfId="0" applyNumberFormat="1" applyFont="1" applyFill="1" applyBorder="1" applyAlignment="1">
      <alignment horizontal="right" vertical="center"/>
    </xf>
    <xf numFmtId="3" fontId="2" fillId="0" borderId="0" xfId="0" applyNumberFormat="1" applyFont="1"/>
    <xf numFmtId="0" fontId="1" fillId="6" borderId="1" xfId="0" applyFont="1" applyFill="1" applyBorder="1" applyAlignment="1">
      <alignment horizontal="left" vertical="center" indent="1"/>
    </xf>
    <xf numFmtId="0" fontId="1" fillId="0" borderId="0" xfId="0" applyFont="1"/>
    <xf numFmtId="1" fontId="1" fillId="3" borderId="6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right" vertical="top"/>
    </xf>
    <xf numFmtId="164" fontId="7" fillId="0" borderId="1" xfId="0" applyNumberFormat="1" applyFont="1" applyFill="1" applyBorder="1" applyAlignment="1">
      <alignment horizontal="right" vertical="top"/>
    </xf>
    <xf numFmtId="3" fontId="2" fillId="0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00FF"/>
      <color rgb="FF0000FF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8193-F6FC-4E51-9B62-69B27D347C19}">
  <sheetPr>
    <tabColor rgb="FFFF00FF"/>
    <pageSetUpPr fitToPage="1"/>
  </sheetPr>
  <dimension ref="A2:G19"/>
  <sheetViews>
    <sheetView zoomScaleNormal="100" workbookViewId="0">
      <selection activeCell="H18" sqref="H18"/>
    </sheetView>
  </sheetViews>
  <sheetFormatPr defaultRowHeight="14"/>
  <cols>
    <col min="1" max="1" width="43.54296875" style="2" customWidth="1"/>
    <col min="2" max="2" width="10.453125" style="2" customWidth="1"/>
    <col min="3" max="3" width="12.36328125" style="2" bestFit="1" customWidth="1"/>
    <col min="4" max="6" width="15.6328125" style="2" customWidth="1"/>
    <col min="7" max="7" width="8.7265625" style="2"/>
    <col min="8" max="8" width="17.81640625" style="2" customWidth="1"/>
    <col min="9" max="16384" width="8.7265625" style="2"/>
  </cols>
  <sheetData>
    <row r="2" spans="1:7">
      <c r="A2" s="1" t="s">
        <v>62</v>
      </c>
      <c r="B2" s="1"/>
      <c r="C2" s="1"/>
      <c r="D2" s="1"/>
      <c r="E2" s="1"/>
      <c r="F2" s="1"/>
    </row>
    <row r="4" spans="1:7" ht="14" customHeight="1">
      <c r="A4" s="19" t="s">
        <v>41</v>
      </c>
      <c r="B4" s="21" t="s">
        <v>38</v>
      </c>
      <c r="C4" s="22"/>
      <c r="D4" s="22"/>
      <c r="E4" s="22"/>
      <c r="F4" s="22"/>
    </row>
    <row r="5" spans="1:7" ht="42">
      <c r="A5" s="20"/>
      <c r="B5" s="3" t="s">
        <v>0</v>
      </c>
      <c r="C5" s="3" t="s">
        <v>1</v>
      </c>
      <c r="D5" s="3" t="s">
        <v>30</v>
      </c>
      <c r="E5" s="3" t="s">
        <v>31</v>
      </c>
      <c r="F5" s="3" t="s">
        <v>29</v>
      </c>
    </row>
    <row r="6" spans="1:7" ht="21.5" customHeight="1">
      <c r="A6" s="32" t="s">
        <v>52</v>
      </c>
      <c r="B6" s="30">
        <v>2</v>
      </c>
      <c r="C6" s="30">
        <v>53</v>
      </c>
      <c r="D6" s="30">
        <v>11500000</v>
      </c>
      <c r="E6" s="30">
        <v>0</v>
      </c>
      <c r="F6" s="31">
        <f>D6+E6</f>
        <v>11500000</v>
      </c>
      <c r="G6" s="13"/>
    </row>
    <row r="7" spans="1:7" ht="21.5" customHeight="1">
      <c r="A7" s="32" t="s">
        <v>53</v>
      </c>
      <c r="B7" s="30">
        <v>1</v>
      </c>
      <c r="C7" s="30">
        <v>30</v>
      </c>
      <c r="D7" s="30">
        <v>20000000</v>
      </c>
      <c r="E7" s="30">
        <v>0</v>
      </c>
      <c r="F7" s="31">
        <f t="shared" ref="F7:F14" si="0">D7+E7</f>
        <v>20000000</v>
      </c>
      <c r="G7" s="13"/>
    </row>
    <row r="8" spans="1:7" ht="23" customHeight="1">
      <c r="A8" s="32" t="s">
        <v>54</v>
      </c>
      <c r="B8" s="30">
        <v>4</v>
      </c>
      <c r="C8" s="30">
        <v>520</v>
      </c>
      <c r="D8" s="30">
        <v>287300000</v>
      </c>
      <c r="E8" s="30">
        <v>473632840</v>
      </c>
      <c r="F8" s="31">
        <f t="shared" si="0"/>
        <v>760932840</v>
      </c>
      <c r="G8" s="13"/>
    </row>
    <row r="9" spans="1:7" ht="21" customHeight="1">
      <c r="A9" s="32" t="s">
        <v>55</v>
      </c>
      <c r="B9" s="30">
        <v>1</v>
      </c>
      <c r="C9" s="30">
        <v>27</v>
      </c>
      <c r="D9" s="30">
        <v>2762284.95</v>
      </c>
      <c r="E9" s="30">
        <v>6445331.5499999998</v>
      </c>
      <c r="F9" s="31">
        <f t="shared" si="0"/>
        <v>9207616.5</v>
      </c>
      <c r="G9" s="13"/>
    </row>
    <row r="10" spans="1:7" ht="20" customHeight="1">
      <c r="A10" s="32" t="s">
        <v>56</v>
      </c>
      <c r="B10" s="30">
        <v>1</v>
      </c>
      <c r="C10" s="30">
        <v>6</v>
      </c>
      <c r="D10" s="30">
        <v>23108997</v>
      </c>
      <c r="E10" s="30">
        <v>0</v>
      </c>
      <c r="F10" s="31">
        <f t="shared" si="0"/>
        <v>23108997</v>
      </c>
    </row>
    <row r="11" spans="1:7" ht="20" customHeight="1">
      <c r="A11" s="32" t="s">
        <v>57</v>
      </c>
      <c r="B11" s="30">
        <v>2</v>
      </c>
      <c r="C11" s="30">
        <v>626</v>
      </c>
      <c r="D11" s="30">
        <v>339729615</v>
      </c>
      <c r="E11" s="30">
        <v>2613596088</v>
      </c>
      <c r="F11" s="31">
        <f t="shared" si="0"/>
        <v>2953325703</v>
      </c>
    </row>
    <row r="12" spans="1:7" ht="20" customHeight="1">
      <c r="A12" s="32" t="s">
        <v>58</v>
      </c>
      <c r="B12" s="30">
        <v>1</v>
      </c>
      <c r="C12" s="30">
        <v>125</v>
      </c>
      <c r="D12" s="30">
        <v>81000000</v>
      </c>
      <c r="E12" s="30">
        <v>0</v>
      </c>
      <c r="F12" s="31">
        <f t="shared" si="0"/>
        <v>81000000</v>
      </c>
    </row>
    <row r="13" spans="1:7" ht="20" customHeight="1">
      <c r="A13" s="32" t="s">
        <v>59</v>
      </c>
      <c r="B13" s="30">
        <v>1</v>
      </c>
      <c r="C13" s="30">
        <v>5</v>
      </c>
      <c r="D13" s="30">
        <v>10000000</v>
      </c>
      <c r="E13" s="30">
        <v>0</v>
      </c>
      <c r="F13" s="31">
        <f t="shared" si="0"/>
        <v>10000000</v>
      </c>
    </row>
    <row r="14" spans="1:7" ht="20" customHeight="1">
      <c r="A14" s="32" t="s">
        <v>60</v>
      </c>
      <c r="B14" s="30">
        <v>1</v>
      </c>
      <c r="C14" s="30">
        <v>5</v>
      </c>
      <c r="D14" s="30">
        <v>10100000</v>
      </c>
      <c r="E14" s="30">
        <v>0</v>
      </c>
      <c r="F14" s="31">
        <f t="shared" si="0"/>
        <v>10100000</v>
      </c>
    </row>
    <row r="15" spans="1:7" ht="20" customHeight="1">
      <c r="A15" s="16" t="s">
        <v>16</v>
      </c>
      <c r="B15" s="14">
        <f>SUM(B6:B14)</f>
        <v>14</v>
      </c>
      <c r="C15" s="14">
        <f t="shared" ref="C15:F15" si="1">SUM(C6:C14)</f>
        <v>1397</v>
      </c>
      <c r="D15" s="14">
        <f t="shared" si="1"/>
        <v>785500896.95000005</v>
      </c>
      <c r="E15" s="14">
        <f t="shared" si="1"/>
        <v>3093674259.5500002</v>
      </c>
      <c r="F15" s="14">
        <f t="shared" si="1"/>
        <v>3879175156.5</v>
      </c>
    </row>
    <row r="17" spans="1:6" ht="14.5">
      <c r="A17" s="17" t="s">
        <v>17</v>
      </c>
      <c r="F17" s="25"/>
    </row>
    <row r="18" spans="1:6" ht="14.5">
      <c r="A18" s="17" t="s">
        <v>32</v>
      </c>
    </row>
    <row r="19" spans="1:6" ht="14.5">
      <c r="A19" s="17" t="s">
        <v>39</v>
      </c>
    </row>
  </sheetData>
  <mergeCells count="2">
    <mergeCell ref="A4:A5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C669-49D7-4D1E-AD7E-4A27DC1D8F55}">
  <sheetPr>
    <tabColor rgb="FFFF00FF"/>
    <pageSetUpPr fitToPage="1"/>
  </sheetPr>
  <dimension ref="A2:D12"/>
  <sheetViews>
    <sheetView zoomScaleNormal="100" workbookViewId="0">
      <selection activeCell="F8" sqref="F8"/>
    </sheetView>
  </sheetViews>
  <sheetFormatPr defaultRowHeight="14"/>
  <cols>
    <col min="1" max="1" width="43.54296875" style="2" customWidth="1"/>
    <col min="2" max="2" width="10.453125" style="2" customWidth="1"/>
    <col min="3" max="3" width="12.36328125" style="2" bestFit="1" customWidth="1"/>
    <col min="4" max="4" width="33.36328125" style="2" customWidth="1"/>
    <col min="5" max="5" width="22.7265625" style="2" customWidth="1"/>
    <col min="6" max="16384" width="8.7265625" style="2"/>
  </cols>
  <sheetData>
    <row r="2" spans="1:4">
      <c r="A2" s="1" t="s">
        <v>61</v>
      </c>
      <c r="B2" s="1"/>
      <c r="C2" s="1"/>
      <c r="D2" s="1"/>
    </row>
    <row r="4" spans="1:4" ht="14" customHeight="1">
      <c r="A4" s="19" t="s">
        <v>48</v>
      </c>
      <c r="B4" s="21" t="s">
        <v>38</v>
      </c>
      <c r="C4" s="22"/>
      <c r="D4" s="28"/>
    </row>
    <row r="5" spans="1:4" ht="42">
      <c r="A5" s="20"/>
      <c r="B5" s="3" t="s">
        <v>0</v>
      </c>
      <c r="C5" s="3" t="s">
        <v>1</v>
      </c>
      <c r="D5" s="3" t="s">
        <v>51</v>
      </c>
    </row>
    <row r="6" spans="1:4" ht="20" customHeight="1">
      <c r="A6" s="15" t="s">
        <v>49</v>
      </c>
      <c r="B6" s="5">
        <v>2</v>
      </c>
      <c r="C6" s="5">
        <v>517</v>
      </c>
      <c r="D6" s="29">
        <v>2649428928</v>
      </c>
    </row>
    <row r="7" spans="1:4" ht="20" customHeight="1">
      <c r="A7" s="15" t="s">
        <v>50</v>
      </c>
      <c r="B7" s="5">
        <v>2</v>
      </c>
      <c r="C7" s="5">
        <v>298</v>
      </c>
      <c r="D7" s="30">
        <v>444245331.55000001</v>
      </c>
    </row>
    <row r="8" spans="1:4" ht="20" customHeight="1">
      <c r="A8" s="16" t="s">
        <v>16</v>
      </c>
      <c r="B8" s="14">
        <v>4</v>
      </c>
      <c r="C8" s="14">
        <f>C7+C6</f>
        <v>815</v>
      </c>
      <c r="D8" s="14">
        <f>SUM(D6:D7)</f>
        <v>3093674259.5500002</v>
      </c>
    </row>
    <row r="10" spans="1:4" ht="14.5">
      <c r="A10" s="17" t="s">
        <v>17</v>
      </c>
    </row>
    <row r="11" spans="1:4" ht="14.5">
      <c r="A11" s="17" t="s">
        <v>32</v>
      </c>
    </row>
    <row r="12" spans="1:4" ht="14.5">
      <c r="A12" s="17" t="s">
        <v>39</v>
      </c>
    </row>
  </sheetData>
  <mergeCells count="2">
    <mergeCell ref="A4:A5"/>
    <mergeCell ref="B4:D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9FCB-F9AE-42E1-8CD8-C91757A21AD4}">
  <sheetPr>
    <tabColor rgb="FFFF00FF"/>
    <pageSetUpPr fitToPage="1"/>
  </sheetPr>
  <dimension ref="A2:F15"/>
  <sheetViews>
    <sheetView zoomScaleNormal="100" workbookViewId="0">
      <selection activeCell="A18" sqref="A18:A30"/>
    </sheetView>
  </sheetViews>
  <sheetFormatPr defaultRowHeight="14"/>
  <cols>
    <col min="1" max="1" width="43.54296875" style="2" customWidth="1"/>
    <col min="2" max="2" width="10.453125" style="2" customWidth="1"/>
    <col min="3" max="3" width="12.36328125" style="2" bestFit="1" customWidth="1"/>
    <col min="4" max="6" width="15.6328125" style="2" customWidth="1"/>
    <col min="7" max="16384" width="8.7265625" style="2"/>
  </cols>
  <sheetData>
    <row r="2" spans="1:6">
      <c r="A2" s="1" t="s">
        <v>43</v>
      </c>
      <c r="B2" s="1"/>
      <c r="C2" s="1"/>
      <c r="D2" s="1"/>
      <c r="E2" s="1"/>
      <c r="F2" s="1"/>
    </row>
    <row r="4" spans="1:6" ht="14" customHeight="1">
      <c r="A4" s="19" t="s">
        <v>41</v>
      </c>
      <c r="B4" s="21" t="s">
        <v>38</v>
      </c>
      <c r="C4" s="22"/>
      <c r="D4" s="22"/>
      <c r="E4" s="22"/>
      <c r="F4" s="22"/>
    </row>
    <row r="5" spans="1:6" ht="42">
      <c r="A5" s="20"/>
      <c r="B5" s="3" t="s">
        <v>0</v>
      </c>
      <c r="C5" s="3" t="s">
        <v>1</v>
      </c>
      <c r="D5" s="3" t="s">
        <v>30</v>
      </c>
      <c r="E5" s="3" t="s">
        <v>31</v>
      </c>
      <c r="F5" s="3" t="s">
        <v>29</v>
      </c>
    </row>
    <row r="6" spans="1:6" ht="20" customHeight="1">
      <c r="A6" s="15" t="s">
        <v>26</v>
      </c>
      <c r="B6" s="5">
        <v>16</v>
      </c>
      <c r="C6" s="5">
        <v>0</v>
      </c>
      <c r="D6" s="5">
        <v>105576786</v>
      </c>
      <c r="E6" s="5">
        <v>2330000</v>
      </c>
      <c r="F6" s="5">
        <v>107906786</v>
      </c>
    </row>
    <row r="7" spans="1:6" ht="20" customHeight="1">
      <c r="A7" s="15" t="s">
        <v>25</v>
      </c>
      <c r="B7" s="5">
        <v>10</v>
      </c>
      <c r="C7" s="5">
        <v>0</v>
      </c>
      <c r="D7" s="5">
        <v>96533428.400000006</v>
      </c>
      <c r="E7" s="5">
        <v>0</v>
      </c>
      <c r="F7" s="5">
        <v>96533428.400000006</v>
      </c>
    </row>
    <row r="8" spans="1:6" ht="20" customHeight="1">
      <c r="A8" s="15" t="s">
        <v>28</v>
      </c>
      <c r="B8" s="5">
        <v>2</v>
      </c>
      <c r="C8" s="5">
        <v>55</v>
      </c>
      <c r="D8" s="5">
        <v>62730000</v>
      </c>
      <c r="E8" s="5">
        <v>0</v>
      </c>
      <c r="F8" s="5">
        <v>62730000</v>
      </c>
    </row>
    <row r="9" spans="1:6" ht="20" customHeight="1">
      <c r="A9" s="15" t="s">
        <v>24</v>
      </c>
      <c r="B9" s="5">
        <v>11</v>
      </c>
      <c r="C9" s="5">
        <v>21</v>
      </c>
      <c r="D9" s="5">
        <v>6621966</v>
      </c>
      <c r="E9" s="5">
        <v>1450000</v>
      </c>
      <c r="F9" s="5">
        <v>8071966</v>
      </c>
    </row>
    <row r="10" spans="1:6" ht="20" customHeight="1">
      <c r="A10" s="15" t="s">
        <v>27</v>
      </c>
      <c r="B10" s="5">
        <v>4</v>
      </c>
      <c r="C10" s="5">
        <v>0</v>
      </c>
      <c r="D10" s="5">
        <v>2060020.77</v>
      </c>
      <c r="E10" s="5">
        <v>0</v>
      </c>
      <c r="F10" s="5">
        <v>2060020.77</v>
      </c>
    </row>
    <row r="11" spans="1:6" ht="20" customHeight="1">
      <c r="A11" s="16" t="s">
        <v>16</v>
      </c>
      <c r="B11" s="14">
        <v>43</v>
      </c>
      <c r="C11" s="14">
        <v>76</v>
      </c>
      <c r="D11" s="14">
        <v>273522201.16999996</v>
      </c>
      <c r="E11" s="14">
        <v>3780000</v>
      </c>
      <c r="F11" s="14">
        <v>277302201.16999996</v>
      </c>
    </row>
    <row r="13" spans="1:6" ht="14.5">
      <c r="A13" s="17" t="s">
        <v>17</v>
      </c>
      <c r="F13" s="25"/>
    </row>
    <row r="14" spans="1:6" ht="14.5">
      <c r="A14" s="17" t="s">
        <v>32</v>
      </c>
    </row>
    <row r="15" spans="1:6" ht="14.5">
      <c r="A15" s="17" t="s">
        <v>39</v>
      </c>
    </row>
  </sheetData>
  <sortState ref="A7:F10">
    <sortCondition descending="1" ref="F6:F10"/>
  </sortState>
  <mergeCells count="2">
    <mergeCell ref="A4:A5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17A4-74DC-4A68-B44C-79870E5065D3}">
  <sheetPr>
    <tabColor rgb="FFFF00FF"/>
    <pageSetUpPr fitToPage="1"/>
  </sheetPr>
  <dimension ref="A2:F15"/>
  <sheetViews>
    <sheetView zoomScaleNormal="100" workbookViewId="0">
      <selection activeCell="A22" sqref="A22"/>
    </sheetView>
  </sheetViews>
  <sheetFormatPr defaultRowHeight="14"/>
  <cols>
    <col min="1" max="1" width="43.54296875" style="2" customWidth="1"/>
    <col min="2" max="2" width="10.453125" style="2" customWidth="1"/>
    <col min="3" max="3" width="12.36328125" style="2" bestFit="1" customWidth="1"/>
    <col min="4" max="6" width="15.6328125" style="2" customWidth="1"/>
    <col min="7" max="16384" width="8.7265625" style="2"/>
  </cols>
  <sheetData>
    <row r="2" spans="1:6">
      <c r="A2" s="1" t="s">
        <v>42</v>
      </c>
      <c r="B2" s="1"/>
      <c r="C2" s="1"/>
      <c r="D2" s="1"/>
      <c r="E2" s="1"/>
      <c r="F2" s="1"/>
    </row>
    <row r="4" spans="1:6" ht="14" customHeight="1">
      <c r="A4" s="19" t="s">
        <v>41</v>
      </c>
      <c r="B4" s="21" t="s">
        <v>38</v>
      </c>
      <c r="C4" s="22"/>
      <c r="D4" s="22"/>
      <c r="E4" s="22"/>
      <c r="F4" s="22"/>
    </row>
    <row r="5" spans="1:6" ht="42">
      <c r="A5" s="20"/>
      <c r="B5" s="3" t="s">
        <v>0</v>
      </c>
      <c r="C5" s="3" t="s">
        <v>1</v>
      </c>
      <c r="D5" s="3" t="s">
        <v>30</v>
      </c>
      <c r="E5" s="3" t="s">
        <v>31</v>
      </c>
      <c r="F5" s="3" t="s">
        <v>29</v>
      </c>
    </row>
    <row r="6" spans="1:6" ht="20" customHeight="1">
      <c r="A6" s="15" t="s">
        <v>19</v>
      </c>
      <c r="B6" s="5">
        <v>2</v>
      </c>
      <c r="C6" s="5">
        <v>492</v>
      </c>
      <c r="D6" s="5">
        <v>75000000</v>
      </c>
      <c r="E6" s="5">
        <v>2613596088</v>
      </c>
      <c r="F6" s="5">
        <v>2688596088</v>
      </c>
    </row>
    <row r="7" spans="1:6" ht="20" customHeight="1">
      <c r="A7" s="15" t="s">
        <v>21</v>
      </c>
      <c r="B7" s="5">
        <v>2</v>
      </c>
      <c r="C7" s="5">
        <v>414</v>
      </c>
      <c r="D7" s="5">
        <v>451929615</v>
      </c>
      <c r="E7" s="5">
        <v>437800000</v>
      </c>
      <c r="F7" s="5">
        <v>889729615</v>
      </c>
    </row>
    <row r="8" spans="1:6" ht="20" customHeight="1">
      <c r="A8" s="15" t="s">
        <v>20</v>
      </c>
      <c r="B8" s="5">
        <v>4</v>
      </c>
      <c r="C8" s="5">
        <v>255</v>
      </c>
      <c r="D8" s="5">
        <v>116600000</v>
      </c>
      <c r="E8" s="5">
        <v>35832840</v>
      </c>
      <c r="F8" s="5">
        <v>152432840</v>
      </c>
    </row>
    <row r="9" spans="1:6" ht="20" customHeight="1">
      <c r="A9" s="15" t="s">
        <v>22</v>
      </c>
      <c r="B9" s="5">
        <v>5</v>
      </c>
      <c r="C9" s="5">
        <v>209</v>
      </c>
      <c r="D9" s="5">
        <v>139208997</v>
      </c>
      <c r="E9" s="5">
        <v>0</v>
      </c>
      <c r="F9" s="5">
        <v>139208997</v>
      </c>
    </row>
    <row r="10" spans="1:6" ht="20" customHeight="1">
      <c r="A10" s="15" t="s">
        <v>23</v>
      </c>
      <c r="B10" s="5">
        <v>1</v>
      </c>
      <c r="C10" s="5">
        <v>27</v>
      </c>
      <c r="D10" s="5">
        <v>2762285</v>
      </c>
      <c r="E10" s="5">
        <v>6445332</v>
      </c>
      <c r="F10" s="5">
        <v>9207617</v>
      </c>
    </row>
    <row r="11" spans="1:6" ht="20" customHeight="1">
      <c r="A11" s="16" t="s">
        <v>16</v>
      </c>
      <c r="B11" s="14">
        <v>14</v>
      </c>
      <c r="C11" s="14">
        <v>1397</v>
      </c>
      <c r="D11" s="14">
        <v>785500897</v>
      </c>
      <c r="E11" s="14">
        <v>3093674260</v>
      </c>
      <c r="F11" s="14">
        <v>3879175157</v>
      </c>
    </row>
    <row r="13" spans="1:6" ht="14.5">
      <c r="A13" s="17" t="s">
        <v>17</v>
      </c>
    </row>
    <row r="14" spans="1:6" ht="14.5">
      <c r="A14" s="17" t="s">
        <v>32</v>
      </c>
      <c r="F14" s="25"/>
    </row>
    <row r="15" spans="1:6" ht="14.5">
      <c r="A15" s="17" t="s">
        <v>39</v>
      </c>
    </row>
  </sheetData>
  <sortState ref="A7:F10">
    <sortCondition descending="1" ref="F6:F10"/>
  </sortState>
  <mergeCells count="2">
    <mergeCell ref="A4:A5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D5C0-37A9-44BC-94A4-F70AF55DD7A8}">
  <sheetPr>
    <tabColor rgb="FFFFFF00"/>
    <pageSetUpPr fitToPage="1"/>
  </sheetPr>
  <dimension ref="A2:G48"/>
  <sheetViews>
    <sheetView zoomScaleNormal="100" workbookViewId="0">
      <selection activeCell="A27" sqref="A27"/>
    </sheetView>
  </sheetViews>
  <sheetFormatPr defaultRowHeight="14"/>
  <cols>
    <col min="1" max="1" width="33.81640625" style="2" customWidth="1"/>
    <col min="2" max="2" width="10.453125" style="2" customWidth="1"/>
    <col min="3" max="3" width="12.36328125" style="2" bestFit="1" customWidth="1"/>
    <col min="4" max="4" width="30.81640625" style="2" customWidth="1"/>
    <col min="5" max="5" width="26.26953125" style="2" customWidth="1"/>
    <col min="6" max="6" width="26.36328125" style="2" customWidth="1"/>
    <col min="7" max="16384" width="8.7265625" style="2"/>
  </cols>
  <sheetData>
    <row r="2" spans="1:7">
      <c r="A2" s="1" t="s">
        <v>46</v>
      </c>
      <c r="B2" s="1"/>
      <c r="C2" s="1"/>
      <c r="D2" s="1"/>
      <c r="E2" s="1"/>
      <c r="F2" s="1"/>
    </row>
    <row r="4" spans="1:7" ht="14" customHeight="1">
      <c r="A4" s="19" t="s">
        <v>34</v>
      </c>
      <c r="B4" s="21" t="s">
        <v>38</v>
      </c>
      <c r="C4" s="22"/>
      <c r="D4" s="22"/>
      <c r="E4" s="22"/>
      <c r="F4" s="22"/>
    </row>
    <row r="5" spans="1:7" ht="42">
      <c r="A5" s="20"/>
      <c r="B5" s="3" t="s">
        <v>0</v>
      </c>
      <c r="C5" s="3" t="s">
        <v>1</v>
      </c>
      <c r="D5" s="3" t="s">
        <v>30</v>
      </c>
      <c r="E5" s="3" t="s">
        <v>31</v>
      </c>
      <c r="F5" s="3" t="s">
        <v>29</v>
      </c>
    </row>
    <row r="6" spans="1:7" ht="20" customHeight="1">
      <c r="A6" s="10" t="s">
        <v>63</v>
      </c>
      <c r="B6" s="11">
        <v>7</v>
      </c>
      <c r="C6" s="11">
        <v>0</v>
      </c>
      <c r="D6" s="11">
        <v>1102397944.3299999</v>
      </c>
      <c r="E6" s="11">
        <v>426400000</v>
      </c>
      <c r="F6" s="11">
        <v>1528797944.3299999</v>
      </c>
    </row>
    <row r="7" spans="1:7" ht="20" customHeight="1">
      <c r="A7" s="12" t="s">
        <v>3</v>
      </c>
      <c r="B7" s="5">
        <v>3</v>
      </c>
      <c r="C7" s="5">
        <v>0</v>
      </c>
      <c r="D7" s="5">
        <v>757100000</v>
      </c>
      <c r="E7" s="5">
        <v>0</v>
      </c>
      <c r="F7" s="5">
        <v>757100000</v>
      </c>
    </row>
    <row r="8" spans="1:7" ht="20" customHeight="1">
      <c r="A8" s="12" t="s">
        <v>33</v>
      </c>
      <c r="B8" s="5">
        <v>2</v>
      </c>
      <c r="C8" s="5">
        <v>0</v>
      </c>
      <c r="D8" s="5">
        <v>313400000</v>
      </c>
      <c r="E8" s="5">
        <v>250400000</v>
      </c>
      <c r="F8" s="5">
        <v>563800000</v>
      </c>
    </row>
    <row r="9" spans="1:7" ht="20" customHeight="1">
      <c r="A9" s="12" t="s">
        <v>7</v>
      </c>
      <c r="B9" s="5">
        <v>2</v>
      </c>
      <c r="C9" s="5">
        <v>0</v>
      </c>
      <c r="D9" s="5">
        <v>31897944.329999998</v>
      </c>
      <c r="E9" s="5">
        <v>176000000</v>
      </c>
      <c r="F9" s="5">
        <v>207897944.33000001</v>
      </c>
    </row>
    <row r="10" spans="1:7" ht="20" customHeight="1">
      <c r="A10" s="10" t="s">
        <v>64</v>
      </c>
      <c r="B10" s="11">
        <v>207</v>
      </c>
      <c r="C10" s="11">
        <v>18317</v>
      </c>
      <c r="D10" s="11">
        <v>4936691805.4431</v>
      </c>
      <c r="E10" s="11">
        <v>25523276341.5569</v>
      </c>
      <c r="F10" s="11">
        <v>30459968147</v>
      </c>
    </row>
    <row r="11" spans="1:7" ht="20" customHeight="1">
      <c r="A11" s="12" t="s">
        <v>3</v>
      </c>
      <c r="B11" s="5">
        <v>6</v>
      </c>
      <c r="C11" s="5">
        <v>1207</v>
      </c>
      <c r="D11" s="5">
        <v>711195002.76300001</v>
      </c>
      <c r="E11" s="5">
        <v>6593758925.2370005</v>
      </c>
      <c r="F11" s="5">
        <v>7304953928</v>
      </c>
    </row>
    <row r="12" spans="1:7" ht="20" customHeight="1">
      <c r="A12" s="12" t="s">
        <v>14</v>
      </c>
      <c r="B12" s="5">
        <v>36</v>
      </c>
      <c r="C12" s="5">
        <v>4577</v>
      </c>
      <c r="D12" s="5">
        <v>655764453</v>
      </c>
      <c r="E12" s="5">
        <v>6088048671</v>
      </c>
      <c r="F12" s="5">
        <v>6743813124</v>
      </c>
    </row>
    <row r="13" spans="1:7" ht="20" customHeight="1">
      <c r="A13" s="26" t="s">
        <v>6</v>
      </c>
      <c r="B13" s="24">
        <v>14</v>
      </c>
      <c r="C13" s="24">
        <v>1397</v>
      </c>
      <c r="D13" s="24">
        <v>785500897</v>
      </c>
      <c r="E13" s="24">
        <v>3093674260</v>
      </c>
      <c r="F13" s="24">
        <v>3879175157</v>
      </c>
      <c r="G13" s="27" t="s">
        <v>44</v>
      </c>
    </row>
    <row r="14" spans="1:7" ht="20" customHeight="1">
      <c r="A14" s="12" t="s">
        <v>5</v>
      </c>
      <c r="B14" s="5">
        <v>62</v>
      </c>
      <c r="C14" s="5">
        <v>5726</v>
      </c>
      <c r="D14" s="5">
        <v>1060625336.4402</v>
      </c>
      <c r="E14" s="5">
        <v>2621547460.5598001</v>
      </c>
      <c r="F14" s="5">
        <v>3682172797</v>
      </c>
    </row>
    <row r="15" spans="1:7" ht="20" customHeight="1">
      <c r="A15" s="12" t="s">
        <v>4</v>
      </c>
      <c r="B15" s="5">
        <v>49</v>
      </c>
      <c r="C15" s="5">
        <v>2946</v>
      </c>
      <c r="D15" s="5">
        <v>852874629.67359996</v>
      </c>
      <c r="E15" s="5">
        <v>2191962840.3263998</v>
      </c>
      <c r="F15" s="5">
        <v>3044837470</v>
      </c>
    </row>
    <row r="16" spans="1:7" ht="20" customHeight="1">
      <c r="A16" s="12" t="s">
        <v>10</v>
      </c>
      <c r="B16" s="5">
        <v>4</v>
      </c>
      <c r="C16" s="5">
        <v>807</v>
      </c>
      <c r="D16" s="5">
        <v>415448831</v>
      </c>
      <c r="E16" s="5">
        <v>2500718098</v>
      </c>
      <c r="F16" s="5">
        <v>2916166929</v>
      </c>
    </row>
    <row r="17" spans="1:6" ht="20" customHeight="1">
      <c r="A17" s="12" t="s">
        <v>15</v>
      </c>
      <c r="B17" s="5">
        <v>12</v>
      </c>
      <c r="C17" s="5">
        <v>633</v>
      </c>
      <c r="D17" s="5">
        <v>194926273.09540001</v>
      </c>
      <c r="E17" s="5">
        <v>1538914667.9046001</v>
      </c>
      <c r="F17" s="5">
        <v>1733840941</v>
      </c>
    </row>
    <row r="18" spans="1:6" ht="20" customHeight="1">
      <c r="A18" s="12" t="s">
        <v>7</v>
      </c>
      <c r="B18" s="5">
        <v>3</v>
      </c>
      <c r="C18" s="5">
        <v>133</v>
      </c>
      <c r="D18" s="5">
        <v>73094186</v>
      </c>
      <c r="E18" s="5">
        <v>544147287</v>
      </c>
      <c r="F18" s="5">
        <v>617241473</v>
      </c>
    </row>
    <row r="19" spans="1:6" ht="20" customHeight="1">
      <c r="A19" s="12" t="s">
        <v>8</v>
      </c>
      <c r="B19" s="5">
        <v>11</v>
      </c>
      <c r="C19" s="5">
        <v>474</v>
      </c>
      <c r="D19" s="5">
        <v>89907782.328500003</v>
      </c>
      <c r="E19" s="5">
        <v>153009246.6715</v>
      </c>
      <c r="F19" s="5">
        <v>242917029</v>
      </c>
    </row>
    <row r="20" spans="1:6" ht="20" customHeight="1">
      <c r="A20" s="12" t="s">
        <v>9</v>
      </c>
      <c r="B20" s="5">
        <v>5</v>
      </c>
      <c r="C20" s="5">
        <v>221</v>
      </c>
      <c r="D20" s="5">
        <v>29171959</v>
      </c>
      <c r="E20" s="5">
        <v>155180627</v>
      </c>
      <c r="F20" s="5">
        <v>184352586</v>
      </c>
    </row>
    <row r="21" spans="1:6" ht="20" customHeight="1">
      <c r="A21" s="12" t="s">
        <v>35</v>
      </c>
      <c r="B21" s="5">
        <v>2</v>
      </c>
      <c r="C21" s="5">
        <v>105</v>
      </c>
      <c r="D21" s="5">
        <v>12500000</v>
      </c>
      <c r="E21" s="5">
        <v>40710000</v>
      </c>
      <c r="F21" s="5">
        <v>53210000</v>
      </c>
    </row>
    <row r="22" spans="1:6" ht="20" customHeight="1">
      <c r="A22" s="12" t="s">
        <v>13</v>
      </c>
      <c r="B22" s="5">
        <v>1</v>
      </c>
      <c r="C22" s="5">
        <v>23</v>
      </c>
      <c r="D22" s="5">
        <v>26750000</v>
      </c>
      <c r="E22" s="5">
        <v>0</v>
      </c>
      <c r="F22" s="5">
        <v>26750000</v>
      </c>
    </row>
    <row r="23" spans="1:6" ht="20" customHeight="1">
      <c r="A23" s="12" t="s">
        <v>12</v>
      </c>
      <c r="B23" s="5">
        <v>1</v>
      </c>
      <c r="C23" s="5">
        <v>9</v>
      </c>
      <c r="D23" s="5">
        <v>20200000</v>
      </c>
      <c r="E23" s="5">
        <v>0</v>
      </c>
      <c r="F23" s="5">
        <v>20200000</v>
      </c>
    </row>
    <row r="24" spans="1:6" ht="20" customHeight="1">
      <c r="A24" s="12" t="s">
        <v>37</v>
      </c>
      <c r="B24" s="5">
        <v>1</v>
      </c>
      <c r="C24" s="5">
        <v>59</v>
      </c>
      <c r="D24" s="5">
        <v>8732455.1424000002</v>
      </c>
      <c r="E24" s="5">
        <v>1604257.8576</v>
      </c>
      <c r="F24" s="5">
        <v>10336713</v>
      </c>
    </row>
    <row r="25" spans="1:6" ht="20" customHeight="1">
      <c r="A25" s="12" t="s">
        <v>11</v>
      </c>
      <c r="B25" s="5" t="s">
        <v>18</v>
      </c>
      <c r="C25" s="5" t="s">
        <v>18</v>
      </c>
      <c r="D25" s="5" t="s">
        <v>18</v>
      </c>
      <c r="E25" s="5" t="s">
        <v>18</v>
      </c>
      <c r="F25" s="5" t="s">
        <v>18</v>
      </c>
    </row>
    <row r="26" spans="1:6" ht="20" customHeight="1">
      <c r="A26" s="10" t="s">
        <v>65</v>
      </c>
      <c r="B26" s="11">
        <v>1342</v>
      </c>
      <c r="C26" s="11">
        <v>15051</v>
      </c>
      <c r="D26" s="11">
        <v>23314153377.370293</v>
      </c>
      <c r="E26" s="11">
        <v>34472148559.849709</v>
      </c>
      <c r="F26" s="11">
        <v>57786301937.219994</v>
      </c>
    </row>
    <row r="27" spans="1:6" ht="20" customHeight="1">
      <c r="A27" s="12" t="s">
        <v>4</v>
      </c>
      <c r="B27" s="5">
        <v>190</v>
      </c>
      <c r="C27" s="5">
        <v>1082</v>
      </c>
      <c r="D27" s="5">
        <v>2346105312.1799998</v>
      </c>
      <c r="E27" s="5">
        <v>24753616475.200001</v>
      </c>
      <c r="F27" s="5">
        <v>27099721787.379997</v>
      </c>
    </row>
    <row r="28" spans="1:6" ht="20" customHeight="1">
      <c r="A28" s="12" t="s">
        <v>35</v>
      </c>
      <c r="B28" s="5">
        <v>190</v>
      </c>
      <c r="C28" s="5">
        <v>5319</v>
      </c>
      <c r="D28" s="5">
        <v>6259519480.0096006</v>
      </c>
      <c r="E28" s="5">
        <v>8707561305.3204002</v>
      </c>
      <c r="F28" s="5">
        <v>14967080785.33</v>
      </c>
    </row>
    <row r="29" spans="1:6" ht="20" customHeight="1">
      <c r="A29" s="12" t="s">
        <v>5</v>
      </c>
      <c r="B29" s="5">
        <v>430</v>
      </c>
      <c r="C29" s="5">
        <v>5500</v>
      </c>
      <c r="D29" s="5">
        <v>6057311306.1998281</v>
      </c>
      <c r="E29" s="5">
        <v>430967382.81017196</v>
      </c>
      <c r="F29" s="5">
        <v>6488278689.0100002</v>
      </c>
    </row>
    <row r="30" spans="1:6" ht="20" customHeight="1">
      <c r="A30" s="12" t="s">
        <v>3</v>
      </c>
      <c r="B30" s="5">
        <v>49</v>
      </c>
      <c r="C30" s="5">
        <v>306</v>
      </c>
      <c r="D30" s="5">
        <v>2825266006.1199999</v>
      </c>
      <c r="E30" s="5">
        <v>11451156.880000001</v>
      </c>
      <c r="F30" s="5">
        <v>2836717163</v>
      </c>
    </row>
    <row r="31" spans="1:6" ht="20" customHeight="1">
      <c r="A31" s="12" t="s">
        <v>14</v>
      </c>
      <c r="B31" s="5">
        <v>113</v>
      </c>
      <c r="C31" s="5">
        <v>1185</v>
      </c>
      <c r="D31" s="5">
        <v>2308696302.52</v>
      </c>
      <c r="E31" s="5">
        <v>153194200</v>
      </c>
      <c r="F31" s="5">
        <v>2461890502.52</v>
      </c>
    </row>
    <row r="32" spans="1:6" ht="20" customHeight="1">
      <c r="A32" s="12" t="s">
        <v>8</v>
      </c>
      <c r="B32" s="5">
        <v>80</v>
      </c>
      <c r="C32" s="5">
        <v>176</v>
      </c>
      <c r="D32" s="5">
        <v>897116460.71766388</v>
      </c>
      <c r="E32" s="5">
        <v>31963076.922336001</v>
      </c>
      <c r="F32" s="5">
        <v>929079537.63999999</v>
      </c>
    </row>
    <row r="33" spans="1:7" ht="20" customHeight="1">
      <c r="A33" s="12" t="s">
        <v>10</v>
      </c>
      <c r="B33" s="5">
        <v>51</v>
      </c>
      <c r="C33" s="5">
        <v>202</v>
      </c>
      <c r="D33" s="5">
        <v>536152596.01999998</v>
      </c>
      <c r="E33" s="5">
        <v>206271533.66</v>
      </c>
      <c r="F33" s="5">
        <v>742424129.68000007</v>
      </c>
    </row>
    <row r="34" spans="1:7" ht="20" customHeight="1">
      <c r="A34" s="12" t="s">
        <v>9</v>
      </c>
      <c r="B34" s="5">
        <v>60</v>
      </c>
      <c r="C34" s="5">
        <v>611</v>
      </c>
      <c r="D34" s="5">
        <v>660188227.47000003</v>
      </c>
      <c r="E34" s="5">
        <v>11084836</v>
      </c>
      <c r="F34" s="5">
        <v>671273063.47000003</v>
      </c>
    </row>
    <row r="35" spans="1:7" ht="20" customHeight="1">
      <c r="A35" s="12" t="s">
        <v>15</v>
      </c>
      <c r="B35" s="5">
        <v>51</v>
      </c>
      <c r="C35" s="5">
        <v>54</v>
      </c>
      <c r="D35" s="5">
        <v>412593780.09600008</v>
      </c>
      <c r="E35" s="5">
        <v>20830199.223999999</v>
      </c>
      <c r="F35" s="5">
        <v>433423979.32000005</v>
      </c>
    </row>
    <row r="36" spans="1:7" ht="20" customHeight="1">
      <c r="A36" s="12" t="s">
        <v>7</v>
      </c>
      <c r="B36" s="5">
        <v>35</v>
      </c>
      <c r="C36" s="5">
        <v>189</v>
      </c>
      <c r="D36" s="5">
        <v>204724208.19999999</v>
      </c>
      <c r="E36" s="5">
        <v>129686993.8</v>
      </c>
      <c r="F36" s="5">
        <v>334411202</v>
      </c>
    </row>
    <row r="37" spans="1:7" ht="20" customHeight="1">
      <c r="A37" s="26" t="s">
        <v>6</v>
      </c>
      <c r="B37" s="24">
        <v>43</v>
      </c>
      <c r="C37" s="24">
        <v>76</v>
      </c>
      <c r="D37" s="24">
        <v>273522201.17000002</v>
      </c>
      <c r="E37" s="24">
        <v>3780000</v>
      </c>
      <c r="F37" s="24">
        <v>277302201.17000002</v>
      </c>
      <c r="G37" s="27" t="s">
        <v>45</v>
      </c>
    </row>
    <row r="38" spans="1:7" ht="20" customHeight="1">
      <c r="A38" s="12" t="s">
        <v>36</v>
      </c>
      <c r="B38" s="5">
        <v>4</v>
      </c>
      <c r="C38" s="5">
        <v>0</v>
      </c>
      <c r="D38" s="5">
        <v>224611580.56720001</v>
      </c>
      <c r="E38" s="5">
        <v>1598.4328</v>
      </c>
      <c r="F38" s="5">
        <v>224613179</v>
      </c>
    </row>
    <row r="39" spans="1:7" ht="20" customHeight="1">
      <c r="A39" s="12" t="s">
        <v>13</v>
      </c>
      <c r="B39" s="5">
        <v>15</v>
      </c>
      <c r="C39" s="5">
        <v>5</v>
      </c>
      <c r="D39" s="5">
        <v>206409775.75</v>
      </c>
      <c r="E39" s="5">
        <v>0</v>
      </c>
      <c r="F39" s="5">
        <v>206409775.75</v>
      </c>
    </row>
    <row r="40" spans="1:7" ht="20" customHeight="1">
      <c r="A40" s="12" t="s">
        <v>33</v>
      </c>
      <c r="B40" s="5">
        <v>9</v>
      </c>
      <c r="C40" s="5">
        <v>276</v>
      </c>
      <c r="D40" s="5">
        <v>69482871.349999994</v>
      </c>
      <c r="E40" s="5">
        <v>105801.60000000001</v>
      </c>
      <c r="F40" s="5">
        <v>69588672.950000003</v>
      </c>
    </row>
    <row r="41" spans="1:7" ht="20" customHeight="1">
      <c r="A41" s="12" t="s">
        <v>12</v>
      </c>
      <c r="B41" s="5">
        <v>13</v>
      </c>
      <c r="C41" s="5">
        <v>43</v>
      </c>
      <c r="D41" s="5">
        <v>30656154</v>
      </c>
      <c r="E41" s="5">
        <v>0</v>
      </c>
      <c r="F41" s="5">
        <v>30656154</v>
      </c>
    </row>
    <row r="42" spans="1:7" ht="20" customHeight="1">
      <c r="A42" s="12" t="s">
        <v>37</v>
      </c>
      <c r="B42" s="5">
        <v>5</v>
      </c>
      <c r="C42" s="5">
        <v>18</v>
      </c>
      <c r="D42" s="5">
        <v>303872</v>
      </c>
      <c r="E42" s="5">
        <v>11634000</v>
      </c>
      <c r="F42" s="5">
        <v>11937872</v>
      </c>
    </row>
    <row r="43" spans="1:7" ht="20" customHeight="1">
      <c r="A43" s="12" t="s">
        <v>11</v>
      </c>
      <c r="B43" s="5">
        <v>4</v>
      </c>
      <c r="C43" s="5">
        <v>9</v>
      </c>
      <c r="D43" s="5">
        <v>1493243</v>
      </c>
      <c r="E43" s="5">
        <v>0</v>
      </c>
      <c r="F43" s="5">
        <v>1493243</v>
      </c>
    </row>
    <row r="44" spans="1:7" ht="20" customHeight="1">
      <c r="A44" s="8" t="s">
        <v>16</v>
      </c>
      <c r="B44" s="9">
        <v>1556</v>
      </c>
      <c r="C44" s="9">
        <v>33368</v>
      </c>
      <c r="D44" s="9">
        <v>29353243127.143394</v>
      </c>
      <c r="E44" s="9">
        <v>60421824901.406601</v>
      </c>
      <c r="F44" s="9">
        <v>89775068028.549988</v>
      </c>
    </row>
    <row r="46" spans="1:7" s="18" customFormat="1" ht="15" customHeight="1">
      <c r="A46" s="17" t="s">
        <v>17</v>
      </c>
    </row>
    <row r="47" spans="1:7" s="18" customFormat="1" ht="15" customHeight="1">
      <c r="A47" s="17" t="s">
        <v>32</v>
      </c>
    </row>
    <row r="48" spans="1:7" ht="15" customHeight="1">
      <c r="A48" s="17" t="s">
        <v>39</v>
      </c>
    </row>
  </sheetData>
  <sortState ref="A28:F43">
    <sortCondition descending="1" ref="F27:F43"/>
  </sortState>
  <mergeCells count="2">
    <mergeCell ref="A4:A5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521C-DD6A-4348-B368-39690370FB58}">
  <sheetPr>
    <tabColor rgb="FFFF0000"/>
    <pageSetUpPr fitToPage="1"/>
  </sheetPr>
  <dimension ref="A2:G27"/>
  <sheetViews>
    <sheetView tabSelected="1" zoomScaleNormal="100" workbookViewId="0">
      <selection activeCell="A2" sqref="A2"/>
    </sheetView>
  </sheetViews>
  <sheetFormatPr defaultRowHeight="14"/>
  <cols>
    <col min="1" max="1" width="32.26953125" style="2" customWidth="1"/>
    <col min="2" max="2" width="10.453125" style="2" customWidth="1"/>
    <col min="3" max="3" width="12.36328125" style="2" bestFit="1" customWidth="1"/>
    <col min="4" max="6" width="15.6328125" style="2" customWidth="1"/>
    <col min="7" max="16384" width="8.7265625" style="2"/>
  </cols>
  <sheetData>
    <row r="2" spans="1:7">
      <c r="A2" s="1" t="s">
        <v>40</v>
      </c>
      <c r="B2" s="1"/>
      <c r="C2" s="1"/>
      <c r="D2" s="1"/>
      <c r="E2" s="1"/>
      <c r="F2" s="1"/>
    </row>
    <row r="4" spans="1:7" ht="14" customHeight="1">
      <c r="A4" s="19" t="s">
        <v>2</v>
      </c>
      <c r="B4" s="21" t="s">
        <v>38</v>
      </c>
      <c r="C4" s="22"/>
      <c r="D4" s="22"/>
      <c r="E4" s="22"/>
      <c r="F4" s="22"/>
    </row>
    <row r="5" spans="1:7" ht="42">
      <c r="A5" s="20"/>
      <c r="B5" s="3" t="s">
        <v>0</v>
      </c>
      <c r="C5" s="3" t="s">
        <v>1</v>
      </c>
      <c r="D5" s="3" t="s">
        <v>30</v>
      </c>
      <c r="E5" s="3" t="s">
        <v>31</v>
      </c>
      <c r="F5" s="3" t="s">
        <v>29</v>
      </c>
    </row>
    <row r="6" spans="1:7" ht="20" customHeight="1">
      <c r="A6" s="4" t="s">
        <v>4</v>
      </c>
      <c r="B6" s="5">
        <v>239</v>
      </c>
      <c r="C6" s="5">
        <v>4028</v>
      </c>
      <c r="D6" s="5">
        <v>3198979941.8536</v>
      </c>
      <c r="E6" s="5">
        <v>26945579315.526402</v>
      </c>
      <c r="F6" s="5">
        <v>30144559257.379997</v>
      </c>
    </row>
    <row r="7" spans="1:7" ht="20" customHeight="1">
      <c r="A7" s="4" t="s">
        <v>35</v>
      </c>
      <c r="B7" s="5">
        <v>192</v>
      </c>
      <c r="C7" s="5">
        <v>5424</v>
      </c>
      <c r="D7" s="5">
        <v>6272019480.0096006</v>
      </c>
      <c r="E7" s="5">
        <v>8748271305.3204002</v>
      </c>
      <c r="F7" s="5">
        <v>15020290785.33</v>
      </c>
    </row>
    <row r="8" spans="1:7" ht="20" customHeight="1">
      <c r="A8" s="4" t="s">
        <v>3</v>
      </c>
      <c r="B8" s="5">
        <v>58</v>
      </c>
      <c r="C8" s="5">
        <v>1513</v>
      </c>
      <c r="D8" s="5">
        <v>4293561008.8829999</v>
      </c>
      <c r="E8" s="5">
        <v>6605210082.1169996</v>
      </c>
      <c r="F8" s="5">
        <v>10898771091</v>
      </c>
    </row>
    <row r="9" spans="1:7" ht="20" customHeight="1">
      <c r="A9" s="4" t="s">
        <v>5</v>
      </c>
      <c r="B9" s="5">
        <v>492</v>
      </c>
      <c r="C9" s="5">
        <v>11226</v>
      </c>
      <c r="D9" s="5">
        <v>7117936642.640028</v>
      </c>
      <c r="E9" s="5">
        <v>3052514843.3699722</v>
      </c>
      <c r="F9" s="5">
        <v>10170451486.01</v>
      </c>
    </row>
    <row r="10" spans="1:7" ht="20" customHeight="1">
      <c r="A10" s="4" t="s">
        <v>14</v>
      </c>
      <c r="B10" s="5">
        <v>149</v>
      </c>
      <c r="C10" s="5">
        <v>5762</v>
      </c>
      <c r="D10" s="5">
        <v>2964460755.52</v>
      </c>
      <c r="E10" s="5">
        <v>6241242871</v>
      </c>
      <c r="F10" s="5">
        <v>9205703626.5200005</v>
      </c>
    </row>
    <row r="11" spans="1:7" ht="20" customHeight="1">
      <c r="A11" s="23" t="s">
        <v>6</v>
      </c>
      <c r="B11" s="24">
        <v>57</v>
      </c>
      <c r="C11" s="24">
        <v>1473</v>
      </c>
      <c r="D11" s="24">
        <v>1059023098.1700001</v>
      </c>
      <c r="E11" s="24">
        <v>3097454260</v>
      </c>
      <c r="F11" s="24">
        <v>4156477358.1700001</v>
      </c>
      <c r="G11" s="2" t="s">
        <v>47</v>
      </c>
    </row>
    <row r="12" spans="1:7" ht="20" customHeight="1">
      <c r="A12" s="4" t="s">
        <v>10</v>
      </c>
      <c r="B12" s="5">
        <v>55</v>
      </c>
      <c r="C12" s="5">
        <v>1009</v>
      </c>
      <c r="D12" s="5">
        <v>951601427.01999998</v>
      </c>
      <c r="E12" s="5">
        <v>2706989631.6599998</v>
      </c>
      <c r="F12" s="5">
        <v>3658591058.6800003</v>
      </c>
    </row>
    <row r="13" spans="1:7" ht="20" customHeight="1">
      <c r="A13" s="4" t="s">
        <v>15</v>
      </c>
      <c r="B13" s="5">
        <v>63</v>
      </c>
      <c r="C13" s="5">
        <v>687</v>
      </c>
      <c r="D13" s="5">
        <v>607520053.19140005</v>
      </c>
      <c r="E13" s="5">
        <v>1559744867.1286001</v>
      </c>
      <c r="F13" s="5">
        <v>2167264920.3200002</v>
      </c>
    </row>
    <row r="14" spans="1:7" ht="20" customHeight="1">
      <c r="A14" s="4" t="s">
        <v>8</v>
      </c>
      <c r="B14" s="5">
        <v>91</v>
      </c>
      <c r="C14" s="5">
        <v>650</v>
      </c>
      <c r="D14" s="5">
        <v>987024243.04616392</v>
      </c>
      <c r="E14" s="5">
        <v>184972323.59383601</v>
      </c>
      <c r="F14" s="5">
        <v>1171996566.6399999</v>
      </c>
    </row>
    <row r="15" spans="1:7" ht="20" customHeight="1">
      <c r="A15" s="4" t="s">
        <v>7</v>
      </c>
      <c r="B15" s="5">
        <v>40</v>
      </c>
      <c r="C15" s="5">
        <v>322</v>
      </c>
      <c r="D15" s="5">
        <v>309716338.52999997</v>
      </c>
      <c r="E15" s="5">
        <v>849834280.79999995</v>
      </c>
      <c r="F15" s="5">
        <v>1159550619.3299999</v>
      </c>
    </row>
    <row r="16" spans="1:7" ht="20" customHeight="1">
      <c r="A16" s="6" t="s">
        <v>9</v>
      </c>
      <c r="B16" s="7">
        <v>65</v>
      </c>
      <c r="C16" s="7">
        <v>832</v>
      </c>
      <c r="D16" s="7">
        <v>689360186.47000003</v>
      </c>
      <c r="E16" s="7">
        <v>166265463</v>
      </c>
      <c r="F16" s="7">
        <v>855625649.47000003</v>
      </c>
    </row>
    <row r="17" spans="1:6" ht="20" customHeight="1">
      <c r="A17" s="4" t="s">
        <v>33</v>
      </c>
      <c r="B17" s="5">
        <v>11</v>
      </c>
      <c r="C17" s="5">
        <v>276</v>
      </c>
      <c r="D17" s="5">
        <v>382882871.35000002</v>
      </c>
      <c r="E17" s="5">
        <v>250505801.59999999</v>
      </c>
      <c r="F17" s="5">
        <v>633388672.95000005</v>
      </c>
    </row>
    <row r="18" spans="1:6" ht="20" customHeight="1">
      <c r="A18" s="4" t="s">
        <v>13</v>
      </c>
      <c r="B18" s="5">
        <v>16</v>
      </c>
      <c r="C18" s="5">
        <v>28</v>
      </c>
      <c r="D18" s="5">
        <v>233159775.75</v>
      </c>
      <c r="E18" s="5">
        <v>0</v>
      </c>
      <c r="F18" s="5">
        <v>233159775.75</v>
      </c>
    </row>
    <row r="19" spans="1:6" ht="20" customHeight="1">
      <c r="A19" s="4" t="s">
        <v>36</v>
      </c>
      <c r="B19" s="5">
        <v>4</v>
      </c>
      <c r="C19" s="5">
        <v>0</v>
      </c>
      <c r="D19" s="5">
        <v>224611580.56720001</v>
      </c>
      <c r="E19" s="5">
        <v>1598.4328</v>
      </c>
      <c r="F19" s="5">
        <v>224613179</v>
      </c>
    </row>
    <row r="20" spans="1:6" ht="20" customHeight="1">
      <c r="A20" s="4" t="s">
        <v>12</v>
      </c>
      <c r="B20" s="5">
        <v>14</v>
      </c>
      <c r="C20" s="5">
        <v>52</v>
      </c>
      <c r="D20" s="5">
        <v>50856154</v>
      </c>
      <c r="E20" s="5">
        <v>0</v>
      </c>
      <c r="F20" s="5">
        <v>50856154</v>
      </c>
    </row>
    <row r="21" spans="1:6" ht="20" customHeight="1">
      <c r="A21" s="4" t="s">
        <v>37</v>
      </c>
      <c r="B21" s="5">
        <v>6</v>
      </c>
      <c r="C21" s="5">
        <v>77</v>
      </c>
      <c r="D21" s="5">
        <v>9036327.1424000002</v>
      </c>
      <c r="E21" s="5">
        <v>13238257.8576</v>
      </c>
      <c r="F21" s="5">
        <v>22274585</v>
      </c>
    </row>
    <row r="22" spans="1:6" ht="20" customHeight="1">
      <c r="A22" s="4" t="s">
        <v>11</v>
      </c>
      <c r="B22" s="5">
        <v>4</v>
      </c>
      <c r="C22" s="5">
        <v>9</v>
      </c>
      <c r="D22" s="5">
        <v>1493243</v>
      </c>
      <c r="E22" s="5">
        <v>0</v>
      </c>
      <c r="F22" s="5">
        <v>1493243</v>
      </c>
    </row>
    <row r="23" spans="1:6" ht="20" customHeight="1">
      <c r="A23" s="8" t="s">
        <v>16</v>
      </c>
      <c r="B23" s="9">
        <v>1556</v>
      </c>
      <c r="C23" s="9">
        <v>33368</v>
      </c>
      <c r="D23" s="9">
        <v>29353243127.143391</v>
      </c>
      <c r="E23" s="9">
        <v>60421824901.406609</v>
      </c>
      <c r="F23" s="9">
        <v>89775068028.549988</v>
      </c>
    </row>
    <row r="25" spans="1:6" s="18" customFormat="1" ht="15" customHeight="1">
      <c r="A25" s="17" t="s">
        <v>17</v>
      </c>
    </row>
    <row r="26" spans="1:6" s="18" customFormat="1" ht="15" customHeight="1">
      <c r="A26" s="17" t="s">
        <v>32</v>
      </c>
    </row>
    <row r="27" spans="1:6" ht="15" customHeight="1">
      <c r="A27" s="17" t="s">
        <v>39</v>
      </c>
    </row>
  </sheetData>
  <sortState ref="A7:F22">
    <sortCondition descending="1" ref="F6:F22"/>
  </sortState>
  <mergeCells count="2">
    <mergeCell ref="A4:A5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By Location (Manufacturing) </vt:lpstr>
      <vt:lpstr>By Country (Manufacturing)</vt:lpstr>
      <vt:lpstr>By Industry (Services)</vt:lpstr>
      <vt:lpstr>By Industry (Manufacturing)</vt:lpstr>
      <vt:lpstr>Detail of Various Sec (Ranking </vt:lpstr>
      <vt:lpstr>By State (Ranking)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Amirah Zolkepali</dc:creator>
  <cp:lastModifiedBy>Rohani binti Saad</cp:lastModifiedBy>
  <cp:lastPrinted>2024-02-27T02:41:03Z</cp:lastPrinted>
  <dcterms:created xsi:type="dcterms:W3CDTF">2014-12-05T01:30:12Z</dcterms:created>
  <dcterms:modified xsi:type="dcterms:W3CDTF">2025-06-12T06:24:17Z</dcterms:modified>
</cp:coreProperties>
</file>