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62B67B5F-C69A-4167-87B9-08A8BD268463}" xr6:coauthVersionLast="45" xr6:coauthVersionMax="45" xr10:uidLastSave="{00000000-0000-0000-0000-000000000000}"/>
  <bookViews>
    <workbookView xWindow="-120" yWindow="-120" windowWidth="21840" windowHeight="13140" activeTab="2" xr2:uid="{00000000-000D-0000-FFFF-FFFF00000000}"/>
  </bookViews>
  <sheets>
    <sheet name="Table by State" sheetId="5" r:id="rId1"/>
    <sheet name="Table by Industry" sheetId="1" r:id="rId2"/>
    <sheet name="Table by Location" sheetId="2" r:id="rId3"/>
    <sheet name="Table by Count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" i="2" l="1"/>
  <c r="F5" i="2"/>
  <c r="D16" i="3"/>
  <c r="D21" i="2"/>
  <c r="D20" i="2"/>
  <c r="D19" i="2"/>
  <c r="D18" i="2"/>
  <c r="D17" i="2"/>
  <c r="D16" i="2"/>
  <c r="D15" i="2"/>
  <c r="D14" i="2"/>
  <c r="D13" i="2"/>
  <c r="D11" i="2"/>
  <c r="D10" i="2"/>
  <c r="D9" i="2"/>
  <c r="D8" i="2"/>
  <c r="D7" i="2"/>
  <c r="D6" i="2"/>
  <c r="E22" i="2"/>
  <c r="F17" i="1"/>
  <c r="F16" i="1"/>
  <c r="F15" i="1"/>
  <c r="F14" i="1"/>
  <c r="F13" i="1"/>
  <c r="F12" i="1"/>
  <c r="F11" i="1"/>
  <c r="F10" i="1"/>
  <c r="F9" i="1"/>
  <c r="F7" i="1"/>
  <c r="F6" i="1"/>
  <c r="F5" i="1"/>
  <c r="F18" i="1" s="1"/>
  <c r="E18" i="1"/>
  <c r="E8" i="1"/>
  <c r="D18" i="1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20" i="5" s="1"/>
  <c r="E6" i="5"/>
  <c r="E5" i="5"/>
  <c r="F20" i="5"/>
  <c r="D20" i="5"/>
  <c r="F22" i="2" l="1"/>
  <c r="D22" i="2" s="1"/>
</calcChain>
</file>

<file path=xl/sharedStrings.xml><?xml version="1.0" encoding="utf-8"?>
<sst xmlns="http://schemas.openxmlformats.org/spreadsheetml/2006/main" count="85" uniqueCount="71">
  <si>
    <t>Basic Metal Products</t>
  </si>
  <si>
    <t>Beverage &amp; Tobacco</t>
  </si>
  <si>
    <t>Chemicals &amp; Chemical Products</t>
  </si>
  <si>
    <t>Electrical &amp; Electronics</t>
  </si>
  <si>
    <t>Fabricated Metal Products</t>
  </si>
  <si>
    <t>Food Manufacturing</t>
  </si>
  <si>
    <t>Machinery &amp; Equipment</t>
  </si>
  <si>
    <t>Miscellaneous</t>
  </si>
  <si>
    <t>Paper,Printing &amp; Publishing</t>
  </si>
  <si>
    <t>Plastic Products</t>
  </si>
  <si>
    <t>Rubber Products</t>
  </si>
  <si>
    <t>Scientific &amp; Measuring Equipment</t>
  </si>
  <si>
    <t>Transport Equipment</t>
  </si>
  <si>
    <t>Total</t>
  </si>
  <si>
    <t>Industry</t>
  </si>
  <si>
    <t>Number</t>
  </si>
  <si>
    <t>Employment</t>
  </si>
  <si>
    <r>
      <t xml:space="preserve">TABLE OF APPROVED MANUFACTURING PROJECTS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>, JANUARY-DECEMBER 2021 BY INDUSTRY</t>
    </r>
  </si>
  <si>
    <t>Kulim High Tech Ind. Park</t>
  </si>
  <si>
    <t>Kulim</t>
  </si>
  <si>
    <t>Bakar Arang IE</t>
  </si>
  <si>
    <t>Sungai Petani</t>
  </si>
  <si>
    <t>Sungai Petani IE</t>
  </si>
  <si>
    <t>Kulim IE</t>
  </si>
  <si>
    <t>Kuala Muda</t>
  </si>
  <si>
    <t>Padang Meha IE</t>
  </si>
  <si>
    <t>Bedong</t>
  </si>
  <si>
    <t>Taman Makmur IE</t>
  </si>
  <si>
    <t>Lunas</t>
  </si>
  <si>
    <t>Langkawi</t>
  </si>
  <si>
    <t>Sungai Lalang (MIEL) IE</t>
  </si>
  <si>
    <t>Jitra</t>
  </si>
  <si>
    <t>Jeniang IE</t>
  </si>
  <si>
    <t>Gurun IE</t>
  </si>
  <si>
    <t>Kuala Ketil IE</t>
  </si>
  <si>
    <t>Location</t>
  </si>
  <si>
    <r>
      <t xml:space="preserve">TABLE OF APPROVED MANUFACTURING PROJECTS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>, JANUARY-DECEMBER 2021 BY LOCATION</t>
    </r>
  </si>
  <si>
    <t>Australia</t>
  </si>
  <si>
    <t>Austria</t>
  </si>
  <si>
    <t>Germany</t>
  </si>
  <si>
    <t>Hong Kong SAR, China</t>
  </si>
  <si>
    <t>India</t>
  </si>
  <si>
    <t>Japan</t>
  </si>
  <si>
    <t>Others</t>
  </si>
  <si>
    <t>Singapore</t>
  </si>
  <si>
    <t>Taipei</t>
  </si>
  <si>
    <t>The People’s Republic of China</t>
  </si>
  <si>
    <t>USA</t>
  </si>
  <si>
    <t>Country</t>
  </si>
  <si>
    <r>
      <t xml:space="preserve">TABLE OF APPROVED MANUFACTURING PROJECTS WITH FOREIGN PARTICIPATION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>, JANUARY-DECEMBER 2021 BY COUNTRY</t>
    </r>
  </si>
  <si>
    <t>Kedah</t>
  </si>
  <si>
    <t>Perlis</t>
  </si>
  <si>
    <t>State</t>
  </si>
  <si>
    <t>Pulau Pinang</t>
  </si>
  <si>
    <t>Pahang</t>
  </si>
  <si>
    <t>Selangor</t>
  </si>
  <si>
    <t>Johor</t>
  </si>
  <si>
    <t>Perak</t>
  </si>
  <si>
    <t>Sarawak</t>
  </si>
  <si>
    <t>Sabah</t>
  </si>
  <si>
    <t>Melaka</t>
  </si>
  <si>
    <t>Terengganu</t>
  </si>
  <si>
    <t>Negeri Sembilan</t>
  </si>
  <si>
    <t>W.P. Kuala Lumpur</t>
  </si>
  <si>
    <t>Kelantan</t>
  </si>
  <si>
    <t>W.P. Labuan</t>
  </si>
  <si>
    <t>TABLE OF APPROVED MANUFACTURING PROJECTS, JANUARY-DECEMBER 2021 BY STATE</t>
  </si>
  <si>
    <t>Domestic Investment (RM-In Million)</t>
  </si>
  <si>
    <t>Foreign Investment (RM-In Million)</t>
  </si>
  <si>
    <t>Total Investment (RM-In Million)</t>
  </si>
  <si>
    <t>Foreign Investment (RM - In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</si>
</sst>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/>
    <xf numFmtId="3" fontId="0" fillId="0" borderId="1" xfId="0" applyNumberFormat="1" applyBorder="1"/>
    <xf numFmtId="3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vertical="top"/>
    </xf>
    <xf numFmtId="0" fontId="3" fillId="4" borderId="2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3" fontId="0" fillId="5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/>
    <xf numFmtId="3" fontId="0" fillId="0" borderId="0" xfId="0" applyNumberForma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3" fontId="0" fillId="0" borderId="0" xfId="0" applyNumberFormat="1" applyFill="1" applyBorder="1" applyAlignment="1">
      <alignment horizontal="center" vertical="top"/>
    </xf>
    <xf numFmtId="0" fontId="1" fillId="0" borderId="0" xfId="0" applyFont="1" applyFill="1" applyBorder="1"/>
    <xf numFmtId="3" fontId="1" fillId="0" borderId="0" xfId="0" applyNumberFormat="1" applyFont="1" applyFill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4" fontId="1" fillId="2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4" fontId="0" fillId="0" borderId="1" xfId="0" applyNumberFormat="1" applyBorder="1"/>
    <xf numFmtId="4" fontId="1" fillId="2" borderId="1" xfId="0" applyNumberFormat="1" applyFont="1" applyFill="1" applyBorder="1" applyAlignment="1">
      <alignment horizontal="center" vertical="top"/>
    </xf>
    <xf numFmtId="4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/>
    <xf numFmtId="3" fontId="0" fillId="0" borderId="0" xfId="0" applyNumberFormat="1" applyFill="1" applyBorder="1"/>
    <xf numFmtId="4" fontId="0" fillId="0" borderId="4" xfId="0" applyNumberFormat="1" applyFill="1" applyBorder="1" applyAlignment="1">
      <alignment horizontal="center" vertical="top"/>
    </xf>
    <xf numFmtId="4" fontId="0" fillId="0" borderId="0" xfId="0" applyNumberFormat="1"/>
    <xf numFmtId="0" fontId="1" fillId="0" borderId="0" xfId="0" applyFont="1" applyFill="1" applyBorder="1" applyAlignment="1">
      <alignment vertical="top"/>
    </xf>
    <xf numFmtId="4" fontId="0" fillId="0" borderId="0" xfId="0" applyNumberFormat="1" applyFill="1" applyBorder="1"/>
    <xf numFmtId="4" fontId="0" fillId="0" borderId="0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2:K21"/>
  <sheetViews>
    <sheetView workbookViewId="0">
      <selection activeCell="I18" sqref="I18"/>
    </sheetView>
  </sheetViews>
  <sheetFormatPr defaultRowHeight="15" x14ac:dyDescent="0.25"/>
  <cols>
    <col min="1" max="1" width="19" bestFit="1" customWidth="1"/>
    <col min="2" max="2" width="10.42578125" customWidth="1"/>
    <col min="3" max="3" width="12.28515625" bestFit="1" customWidth="1"/>
    <col min="4" max="6" width="16.140625" customWidth="1"/>
    <col min="8" max="8" width="15.85546875" customWidth="1"/>
    <col min="9" max="9" width="21.140625" customWidth="1"/>
    <col min="10" max="10" width="23.140625" customWidth="1"/>
  </cols>
  <sheetData>
    <row r="2" spans="1:11" ht="14.45" x14ac:dyDescent="0.35">
      <c r="A2" s="49" t="s">
        <v>66</v>
      </c>
      <c r="B2" s="49"/>
      <c r="C2" s="49"/>
      <c r="D2" s="49"/>
      <c r="E2" s="49"/>
      <c r="F2" s="49"/>
    </row>
    <row r="4" spans="1:11" ht="45" x14ac:dyDescent="0.25">
      <c r="A4" s="5" t="s">
        <v>52</v>
      </c>
      <c r="B4" s="5" t="s">
        <v>15</v>
      </c>
      <c r="C4" s="5" t="s">
        <v>16</v>
      </c>
      <c r="D4" s="6" t="s">
        <v>67</v>
      </c>
      <c r="E4" s="6" t="s">
        <v>68</v>
      </c>
      <c r="F4" s="6" t="s">
        <v>69</v>
      </c>
      <c r="H4" s="26"/>
      <c r="I4" s="26"/>
      <c r="J4" s="26"/>
      <c r="K4" s="27"/>
    </row>
    <row r="5" spans="1:11" x14ac:dyDescent="0.25">
      <c r="A5" s="15" t="s">
        <v>53</v>
      </c>
      <c r="B5" s="16">
        <v>111</v>
      </c>
      <c r="C5" s="16">
        <v>12024</v>
      </c>
      <c r="D5" s="21">
        <v>1784.566814</v>
      </c>
      <c r="E5" s="21">
        <f>F5-D5</f>
        <v>74439.116720999999</v>
      </c>
      <c r="F5" s="21">
        <v>76223.683535000004</v>
      </c>
      <c r="H5" s="28"/>
      <c r="I5" s="28"/>
      <c r="J5" s="28"/>
      <c r="K5" s="27"/>
    </row>
    <row r="6" spans="1:11" x14ac:dyDescent="0.25">
      <c r="A6" s="17" t="s">
        <v>50</v>
      </c>
      <c r="B6" s="18">
        <v>48</v>
      </c>
      <c r="C6" s="18">
        <v>12733</v>
      </c>
      <c r="D6" s="22">
        <v>385.88964299999998</v>
      </c>
      <c r="E6" s="25">
        <f t="shared" ref="E6:E19" si="0">F6-D6</f>
        <v>65833.424411999993</v>
      </c>
      <c r="F6" s="22">
        <v>66219.314054999995</v>
      </c>
      <c r="H6" s="28"/>
      <c r="I6" s="28"/>
      <c r="J6" s="28"/>
      <c r="K6" s="27"/>
    </row>
    <row r="7" spans="1:11" x14ac:dyDescent="0.25">
      <c r="A7" s="15" t="s">
        <v>54</v>
      </c>
      <c r="B7" s="16">
        <v>14</v>
      </c>
      <c r="C7" s="16">
        <v>4409</v>
      </c>
      <c r="D7" s="21">
        <v>239.672945</v>
      </c>
      <c r="E7" s="21">
        <f t="shared" si="0"/>
        <v>10250.680923</v>
      </c>
      <c r="F7" s="21">
        <v>10490.353868</v>
      </c>
      <c r="H7" s="28"/>
      <c r="I7" s="28"/>
      <c r="J7" s="28"/>
      <c r="K7" s="27"/>
    </row>
    <row r="8" spans="1:11" x14ac:dyDescent="0.25">
      <c r="A8" s="15" t="s">
        <v>55</v>
      </c>
      <c r="B8" s="16">
        <v>247</v>
      </c>
      <c r="C8" s="16">
        <v>14393</v>
      </c>
      <c r="D8" s="21">
        <v>6052.7706790000002</v>
      </c>
      <c r="E8" s="21">
        <f t="shared" si="0"/>
        <v>1458.2731880000001</v>
      </c>
      <c r="F8" s="21">
        <v>7511.0438670000003</v>
      </c>
      <c r="H8" s="28"/>
      <c r="I8" s="28"/>
      <c r="J8" s="28"/>
      <c r="K8" s="27"/>
    </row>
    <row r="9" spans="1:11" x14ac:dyDescent="0.25">
      <c r="A9" s="15" t="s">
        <v>56</v>
      </c>
      <c r="B9" s="16">
        <v>134</v>
      </c>
      <c r="C9" s="16">
        <v>10288</v>
      </c>
      <c r="D9" s="21">
        <v>3105.521303</v>
      </c>
      <c r="E9" s="21">
        <f t="shared" si="0"/>
        <v>3847.7199459999997</v>
      </c>
      <c r="F9" s="21">
        <v>6953.2412489999997</v>
      </c>
      <c r="H9" s="28"/>
      <c r="I9" s="28"/>
      <c r="J9" s="28"/>
      <c r="K9" s="27"/>
    </row>
    <row r="10" spans="1:11" x14ac:dyDescent="0.25">
      <c r="A10" s="15" t="s">
        <v>57</v>
      </c>
      <c r="B10" s="16">
        <v>43</v>
      </c>
      <c r="C10" s="16">
        <v>6038</v>
      </c>
      <c r="D10" s="21">
        <v>1996.508325</v>
      </c>
      <c r="E10" s="21">
        <f t="shared" si="0"/>
        <v>4084.7846230000005</v>
      </c>
      <c r="F10" s="21">
        <v>6081.2929480000003</v>
      </c>
      <c r="H10" s="28"/>
      <c r="I10" s="28"/>
      <c r="J10" s="28"/>
      <c r="K10" s="27"/>
    </row>
    <row r="11" spans="1:11" x14ac:dyDescent="0.25">
      <c r="A11" s="15" t="s">
        <v>58</v>
      </c>
      <c r="B11" s="16">
        <v>6</v>
      </c>
      <c r="C11" s="16">
        <v>2235</v>
      </c>
      <c r="D11" s="21">
        <v>49.887790000000003</v>
      </c>
      <c r="E11" s="21">
        <f t="shared" si="0"/>
        <v>5618.0446490000004</v>
      </c>
      <c r="F11" s="21">
        <v>5667.9324390000002</v>
      </c>
      <c r="H11" s="28"/>
      <c r="I11" s="28"/>
      <c r="J11" s="28"/>
      <c r="K11" s="27"/>
    </row>
    <row r="12" spans="1:11" x14ac:dyDescent="0.25">
      <c r="A12" s="15" t="s">
        <v>59</v>
      </c>
      <c r="B12" s="16">
        <v>14</v>
      </c>
      <c r="C12" s="16">
        <v>1391</v>
      </c>
      <c r="D12" s="21">
        <v>481.95291300000002</v>
      </c>
      <c r="E12" s="21">
        <f t="shared" si="0"/>
        <v>4379.4682199999997</v>
      </c>
      <c r="F12" s="21">
        <v>4861.4211329999998</v>
      </c>
      <c r="H12" s="28"/>
      <c r="I12" s="28"/>
      <c r="J12" s="28"/>
      <c r="K12" s="27"/>
    </row>
    <row r="13" spans="1:11" x14ac:dyDescent="0.25">
      <c r="A13" s="15" t="s">
        <v>60</v>
      </c>
      <c r="B13" s="16">
        <v>18</v>
      </c>
      <c r="C13" s="16">
        <v>2994</v>
      </c>
      <c r="D13" s="21">
        <v>367.44459000000001</v>
      </c>
      <c r="E13" s="21">
        <f t="shared" si="0"/>
        <v>3554.5924649999997</v>
      </c>
      <c r="F13" s="21">
        <v>3922.0370549999998</v>
      </c>
      <c r="H13" s="28"/>
      <c r="I13" s="28"/>
      <c r="J13" s="28"/>
      <c r="K13" s="27"/>
    </row>
    <row r="14" spans="1:11" x14ac:dyDescent="0.25">
      <c r="A14" s="15" t="s">
        <v>61</v>
      </c>
      <c r="B14" s="16">
        <v>12</v>
      </c>
      <c r="C14" s="16">
        <v>3701</v>
      </c>
      <c r="D14" s="21">
        <v>84.011393999999996</v>
      </c>
      <c r="E14" s="21">
        <f t="shared" si="0"/>
        <v>3747.4193110000001</v>
      </c>
      <c r="F14" s="21">
        <v>3831.4307050000002</v>
      </c>
      <c r="H14" s="28"/>
      <c r="I14" s="28"/>
      <c r="J14" s="28"/>
      <c r="K14" s="27"/>
    </row>
    <row r="15" spans="1:11" x14ac:dyDescent="0.25">
      <c r="A15" s="15" t="s">
        <v>62</v>
      </c>
      <c r="B15" s="16">
        <v>30</v>
      </c>
      <c r="C15" s="16">
        <v>3366</v>
      </c>
      <c r="D15" s="21">
        <v>527.79260499999998</v>
      </c>
      <c r="E15" s="21">
        <f t="shared" si="0"/>
        <v>2373.367855</v>
      </c>
      <c r="F15" s="21">
        <v>2901.1604600000001</v>
      </c>
      <c r="H15" s="28"/>
      <c r="I15" s="28"/>
      <c r="J15" s="28"/>
      <c r="K15" s="27"/>
    </row>
    <row r="16" spans="1:11" x14ac:dyDescent="0.25">
      <c r="A16" s="15" t="s">
        <v>63</v>
      </c>
      <c r="B16" s="16">
        <v>17</v>
      </c>
      <c r="C16" s="16">
        <v>756</v>
      </c>
      <c r="D16" s="21">
        <v>274.06312500000001</v>
      </c>
      <c r="E16" s="21">
        <f t="shared" si="0"/>
        <v>4.2976170000000025</v>
      </c>
      <c r="F16" s="21">
        <v>278.36074200000002</v>
      </c>
      <c r="H16" s="28"/>
      <c r="I16" s="28"/>
      <c r="J16" s="28"/>
      <c r="K16" s="27"/>
    </row>
    <row r="17" spans="1:11" x14ac:dyDescent="0.25">
      <c r="A17" s="15" t="s">
        <v>64</v>
      </c>
      <c r="B17" s="16">
        <v>3</v>
      </c>
      <c r="C17" s="16">
        <v>118</v>
      </c>
      <c r="D17" s="21">
        <v>90.745992000000001</v>
      </c>
      <c r="E17" s="21">
        <f t="shared" si="0"/>
        <v>0</v>
      </c>
      <c r="F17" s="21">
        <v>90.745992000000001</v>
      </c>
      <c r="H17" s="28"/>
      <c r="I17" s="28"/>
      <c r="J17" s="28"/>
      <c r="K17" s="27"/>
    </row>
    <row r="18" spans="1:11" x14ac:dyDescent="0.25">
      <c r="A18" s="15" t="s">
        <v>65</v>
      </c>
      <c r="B18" s="16">
        <v>4</v>
      </c>
      <c r="C18" s="16">
        <v>83</v>
      </c>
      <c r="D18" s="21">
        <v>36.196126</v>
      </c>
      <c r="E18" s="21">
        <f t="shared" si="0"/>
        <v>7.4038740000000018</v>
      </c>
      <c r="F18" s="21">
        <v>43.6</v>
      </c>
      <c r="H18" s="28"/>
      <c r="I18" s="28"/>
      <c r="J18" s="28"/>
      <c r="K18" s="27"/>
    </row>
    <row r="19" spans="1:11" x14ac:dyDescent="0.25">
      <c r="A19" s="19" t="s">
        <v>51</v>
      </c>
      <c r="B19" s="20">
        <v>1</v>
      </c>
      <c r="C19" s="20">
        <v>46</v>
      </c>
      <c r="D19" s="23">
        <v>12.28</v>
      </c>
      <c r="E19" s="21">
        <f t="shared" si="0"/>
        <v>0</v>
      </c>
      <c r="F19" s="23">
        <v>12.28</v>
      </c>
      <c r="H19" s="28"/>
      <c r="I19" s="28"/>
      <c r="J19" s="28"/>
      <c r="K19" s="27"/>
    </row>
    <row r="20" spans="1:11" ht="15.75" x14ac:dyDescent="0.25">
      <c r="A20" s="13"/>
      <c r="B20" s="14">
        <v>702</v>
      </c>
      <c r="C20" s="14">
        <v>74575</v>
      </c>
      <c r="D20" s="24">
        <f>SUM(D5:D19)</f>
        <v>15489.304244000001</v>
      </c>
      <c r="E20" s="24">
        <f>SUM(E5:E19)</f>
        <v>179598.593804</v>
      </c>
      <c r="F20" s="24">
        <f>SUM(F5:F19)</f>
        <v>195087.898048</v>
      </c>
      <c r="H20" s="29"/>
      <c r="I20" s="29"/>
      <c r="J20" s="29"/>
      <c r="K20" s="27"/>
    </row>
    <row r="21" spans="1:11" x14ac:dyDescent="0.25">
      <c r="H21" s="27"/>
      <c r="I21" s="27"/>
      <c r="J21" s="27"/>
      <c r="K21" s="27"/>
    </row>
  </sheetData>
  <mergeCells count="1">
    <mergeCell ref="A2:F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J32"/>
  <sheetViews>
    <sheetView workbookViewId="0">
      <selection activeCell="D4" sqref="D4:F4"/>
    </sheetView>
  </sheetViews>
  <sheetFormatPr defaultRowHeight="15" x14ac:dyDescent="0.25"/>
  <cols>
    <col min="1" max="1" width="29.140625" bestFit="1" customWidth="1"/>
    <col min="2" max="2" width="11.85546875" bestFit="1" customWidth="1"/>
    <col min="3" max="3" width="12.42578125" bestFit="1" customWidth="1"/>
    <col min="4" max="4" width="16.140625" bestFit="1" customWidth="1"/>
    <col min="5" max="5" width="15.85546875" customWidth="1"/>
    <col min="6" max="6" width="20" bestFit="1" customWidth="1"/>
    <col min="8" max="8" width="15.5703125" customWidth="1"/>
    <col min="9" max="9" width="18.5703125" customWidth="1"/>
    <col min="10" max="10" width="25.5703125" customWidth="1"/>
  </cols>
  <sheetData>
    <row r="2" spans="1:10" ht="14.45" x14ac:dyDescent="0.35">
      <c r="A2" s="49" t="s">
        <v>17</v>
      </c>
      <c r="B2" s="49"/>
      <c r="C2" s="49"/>
      <c r="D2" s="49"/>
      <c r="E2" s="49"/>
      <c r="F2" s="49"/>
    </row>
    <row r="4" spans="1:10" ht="33.950000000000003" customHeight="1" x14ac:dyDescent="0.25">
      <c r="A4" s="5" t="s">
        <v>14</v>
      </c>
      <c r="B4" s="5" t="s">
        <v>15</v>
      </c>
      <c r="C4" s="5" t="s">
        <v>16</v>
      </c>
      <c r="D4" s="6" t="s">
        <v>67</v>
      </c>
      <c r="E4" s="6" t="s">
        <v>68</v>
      </c>
      <c r="F4" s="6" t="s">
        <v>69</v>
      </c>
      <c r="H4" s="26"/>
      <c r="I4" s="26"/>
      <c r="J4" s="26"/>
    </row>
    <row r="5" spans="1:10" x14ac:dyDescent="0.25">
      <c r="A5" s="1" t="s">
        <v>3</v>
      </c>
      <c r="B5" s="2">
        <v>12</v>
      </c>
      <c r="C5" s="2">
        <v>11126</v>
      </c>
      <c r="D5" s="34">
        <v>26.671624999999999</v>
      </c>
      <c r="E5" s="34">
        <v>63756.005655000001</v>
      </c>
      <c r="F5" s="34">
        <f>D5+E5</f>
        <v>63782.677280000004</v>
      </c>
      <c r="H5" s="31"/>
      <c r="I5" s="31"/>
      <c r="J5" s="31"/>
    </row>
    <row r="6" spans="1:10" x14ac:dyDescent="0.25">
      <c r="A6" s="1" t="s">
        <v>11</v>
      </c>
      <c r="B6" s="2">
        <v>1</v>
      </c>
      <c r="C6" s="2">
        <v>278</v>
      </c>
      <c r="D6" s="34">
        <v>0</v>
      </c>
      <c r="E6" s="34">
        <v>1947</v>
      </c>
      <c r="F6" s="34">
        <f t="shared" ref="F6:F17" si="0">D6+E6</f>
        <v>1947</v>
      </c>
      <c r="H6" s="31"/>
      <c r="I6" s="31"/>
      <c r="J6" s="31"/>
    </row>
    <row r="7" spans="1:10" x14ac:dyDescent="0.25">
      <c r="A7" s="1" t="s">
        <v>2</v>
      </c>
      <c r="B7" s="2">
        <v>9</v>
      </c>
      <c r="C7" s="2">
        <v>227</v>
      </c>
      <c r="D7" s="34">
        <v>50.619961000000004</v>
      </c>
      <c r="E7" s="34">
        <v>85.365513000000007</v>
      </c>
      <c r="F7" s="34">
        <f t="shared" si="0"/>
        <v>135.98547400000001</v>
      </c>
      <c r="H7" s="31"/>
      <c r="I7" s="31"/>
      <c r="J7" s="31"/>
    </row>
    <row r="8" spans="1:10" x14ac:dyDescent="0.25">
      <c r="A8" s="1" t="s">
        <v>10</v>
      </c>
      <c r="B8" s="2">
        <v>4</v>
      </c>
      <c r="C8" s="2">
        <v>413</v>
      </c>
      <c r="D8" s="34">
        <v>117.41718899999999</v>
      </c>
      <c r="E8" s="34">
        <f>F8-D8</f>
        <v>1.7000000000000028</v>
      </c>
      <c r="F8" s="34">
        <v>119.117189</v>
      </c>
      <c r="H8" s="31"/>
      <c r="I8" s="31"/>
      <c r="J8" s="31"/>
    </row>
    <row r="9" spans="1:10" x14ac:dyDescent="0.25">
      <c r="A9" s="1" t="s">
        <v>5</v>
      </c>
      <c r="B9" s="2">
        <v>5</v>
      </c>
      <c r="C9" s="2">
        <v>175</v>
      </c>
      <c r="D9" s="34">
        <v>72.276336000000001</v>
      </c>
      <c r="E9" s="2">
        <v>0</v>
      </c>
      <c r="F9" s="34">
        <f t="shared" si="0"/>
        <v>72.276336000000001</v>
      </c>
      <c r="H9" s="31"/>
      <c r="I9" s="31"/>
      <c r="J9" s="31"/>
    </row>
    <row r="10" spans="1:10" x14ac:dyDescent="0.25">
      <c r="A10" s="1" t="s">
        <v>4</v>
      </c>
      <c r="B10" s="2">
        <v>5</v>
      </c>
      <c r="C10" s="2">
        <v>206</v>
      </c>
      <c r="D10" s="34">
        <v>32.849850000000004</v>
      </c>
      <c r="E10" s="34">
        <v>34.731977000000001</v>
      </c>
      <c r="F10" s="34">
        <f t="shared" si="0"/>
        <v>67.581827000000004</v>
      </c>
      <c r="H10" s="31"/>
      <c r="I10" s="31"/>
      <c r="J10" s="31"/>
    </row>
    <row r="11" spans="1:10" x14ac:dyDescent="0.25">
      <c r="A11" s="1" t="s">
        <v>0</v>
      </c>
      <c r="B11" s="2">
        <v>2</v>
      </c>
      <c r="C11" s="2">
        <v>89</v>
      </c>
      <c r="D11" s="34">
        <v>31.3</v>
      </c>
      <c r="E11" s="34">
        <v>0</v>
      </c>
      <c r="F11" s="34">
        <f t="shared" si="0"/>
        <v>31.3</v>
      </c>
      <c r="H11" s="31"/>
      <c r="I11" s="31"/>
      <c r="J11" s="31"/>
    </row>
    <row r="12" spans="1:10" x14ac:dyDescent="0.25">
      <c r="A12" s="1" t="s">
        <v>12</v>
      </c>
      <c r="B12" s="2">
        <v>3</v>
      </c>
      <c r="C12" s="2">
        <v>129</v>
      </c>
      <c r="D12" s="34">
        <v>20.849435</v>
      </c>
      <c r="E12" s="34">
        <v>0</v>
      </c>
      <c r="F12" s="34">
        <f t="shared" si="0"/>
        <v>20.849435</v>
      </c>
      <c r="H12" s="31"/>
      <c r="I12" s="31"/>
      <c r="J12" s="31"/>
    </row>
    <row r="13" spans="1:10" x14ac:dyDescent="0.25">
      <c r="A13" s="1" t="s">
        <v>9</v>
      </c>
      <c r="B13" s="2">
        <v>1</v>
      </c>
      <c r="C13" s="2">
        <v>48</v>
      </c>
      <c r="D13" s="34">
        <v>17.046018</v>
      </c>
      <c r="E13" s="34">
        <v>0</v>
      </c>
      <c r="F13" s="34">
        <f t="shared" si="0"/>
        <v>17.046018</v>
      </c>
      <c r="H13" s="31"/>
      <c r="I13" s="31"/>
      <c r="J13" s="31"/>
    </row>
    <row r="14" spans="1:10" x14ac:dyDescent="0.25">
      <c r="A14" s="1" t="s">
        <v>1</v>
      </c>
      <c r="B14" s="2">
        <v>1</v>
      </c>
      <c r="C14" s="2">
        <v>15</v>
      </c>
      <c r="D14" s="34">
        <v>13.75</v>
      </c>
      <c r="E14" s="34">
        <v>0</v>
      </c>
      <c r="F14" s="34">
        <f t="shared" si="0"/>
        <v>13.75</v>
      </c>
      <c r="H14" s="31"/>
      <c r="I14" s="31"/>
      <c r="J14" s="31"/>
    </row>
    <row r="15" spans="1:10" x14ac:dyDescent="0.25">
      <c r="A15" s="1" t="s">
        <v>6</v>
      </c>
      <c r="B15" s="2">
        <v>2</v>
      </c>
      <c r="C15" s="2">
        <v>27</v>
      </c>
      <c r="D15" s="34">
        <v>2.9950000000000001</v>
      </c>
      <c r="E15" s="34">
        <v>8.1730959999999993</v>
      </c>
      <c r="F15" s="34">
        <f t="shared" si="0"/>
        <v>11.168095999999998</v>
      </c>
      <c r="H15" s="31"/>
      <c r="I15" s="31"/>
      <c r="J15" s="31"/>
    </row>
    <row r="16" spans="1:10" x14ac:dyDescent="0.25">
      <c r="A16" s="1" t="s">
        <v>7</v>
      </c>
      <c r="B16" s="2">
        <v>2</v>
      </c>
      <c r="C16" s="2">
        <v>0</v>
      </c>
      <c r="D16" s="34">
        <v>0</v>
      </c>
      <c r="E16" s="34">
        <v>0.44817099999999999</v>
      </c>
      <c r="F16" s="34">
        <f t="shared" si="0"/>
        <v>0.44817099999999999</v>
      </c>
      <c r="H16" s="31"/>
      <c r="I16" s="31"/>
      <c r="J16" s="31"/>
    </row>
    <row r="17" spans="1:10" x14ac:dyDescent="0.25">
      <c r="A17" s="1" t="s">
        <v>8</v>
      </c>
      <c r="B17" s="2">
        <v>1</v>
      </c>
      <c r="C17" s="2">
        <v>0</v>
      </c>
      <c r="D17" s="34">
        <v>0.114229</v>
      </c>
      <c r="E17" s="34">
        <v>0</v>
      </c>
      <c r="F17" s="34">
        <f t="shared" si="0"/>
        <v>0.114229</v>
      </c>
      <c r="H17" s="31"/>
      <c r="I17" s="31"/>
      <c r="J17" s="31"/>
    </row>
    <row r="18" spans="1:10" x14ac:dyDescent="0.25">
      <c r="A18" s="3" t="s">
        <v>13</v>
      </c>
      <c r="B18" s="4">
        <v>48</v>
      </c>
      <c r="C18" s="4">
        <v>12733</v>
      </c>
      <c r="D18" s="35">
        <f>SUM(D5:D17)</f>
        <v>385.88964300000009</v>
      </c>
      <c r="E18" s="35">
        <f>SUM(E5:E17)</f>
        <v>65833.424411999993</v>
      </c>
      <c r="F18" s="35">
        <f>SUM(F5:F17)</f>
        <v>66219.314054999981</v>
      </c>
      <c r="H18" s="36"/>
      <c r="I18" s="36"/>
      <c r="J18" s="36"/>
    </row>
    <row r="20" spans="1:10" x14ac:dyDescent="0.25">
      <c r="A20" s="50"/>
      <c r="B20" s="50"/>
      <c r="C20" s="50"/>
      <c r="D20" s="50"/>
      <c r="E20" s="50"/>
      <c r="F20" s="50"/>
    </row>
    <row r="21" spans="1:10" x14ac:dyDescent="0.25">
      <c r="A21" s="27"/>
      <c r="B21" s="27"/>
      <c r="C21" s="27"/>
      <c r="D21" s="27"/>
      <c r="E21" s="27"/>
      <c r="F21" s="27"/>
    </row>
    <row r="22" spans="1:10" x14ac:dyDescent="0.25">
      <c r="A22" s="30"/>
      <c r="B22" s="30"/>
      <c r="C22" s="30"/>
      <c r="D22" s="26"/>
      <c r="E22" s="26"/>
      <c r="F22" s="26"/>
    </row>
    <row r="23" spans="1:10" x14ac:dyDescent="0.25">
      <c r="A23" s="27"/>
      <c r="B23" s="31"/>
      <c r="C23" s="31"/>
      <c r="D23" s="31"/>
      <c r="E23" s="31"/>
      <c r="F23" s="31"/>
    </row>
    <row r="24" spans="1:10" x14ac:dyDescent="0.25">
      <c r="A24" s="32"/>
      <c r="B24" s="33"/>
      <c r="C24" s="33"/>
      <c r="D24" s="33"/>
      <c r="E24" s="33"/>
      <c r="F24" s="33"/>
    </row>
    <row r="25" spans="1:10" x14ac:dyDescent="0.25">
      <c r="A25" s="27"/>
      <c r="B25" s="27"/>
      <c r="C25" s="27"/>
      <c r="D25" s="27"/>
      <c r="E25" s="27"/>
      <c r="F25" s="27"/>
    </row>
    <row r="26" spans="1:10" x14ac:dyDescent="0.25">
      <c r="A26" s="27"/>
      <c r="B26" s="27"/>
      <c r="C26" s="27"/>
      <c r="D26" s="27"/>
      <c r="E26" s="27"/>
      <c r="F26" s="27"/>
    </row>
    <row r="27" spans="1:10" x14ac:dyDescent="0.25">
      <c r="A27" s="27"/>
      <c r="B27" s="27"/>
      <c r="C27" s="27"/>
      <c r="D27" s="27"/>
      <c r="E27" s="27"/>
      <c r="F27" s="27"/>
    </row>
    <row r="28" spans="1:10" x14ac:dyDescent="0.25">
      <c r="A28" s="27"/>
      <c r="B28" s="27"/>
      <c r="C28" s="27"/>
      <c r="D28" s="27"/>
      <c r="E28" s="27"/>
      <c r="F28" s="27"/>
    </row>
    <row r="29" spans="1:10" x14ac:dyDescent="0.25">
      <c r="A29" s="27"/>
      <c r="B29" s="27"/>
      <c r="C29" s="27"/>
      <c r="D29" s="27"/>
      <c r="E29" s="27"/>
      <c r="F29" s="27"/>
    </row>
    <row r="30" spans="1:10" x14ac:dyDescent="0.25">
      <c r="A30" s="27"/>
      <c r="B30" s="27"/>
      <c r="C30" s="27"/>
      <c r="D30" s="27"/>
      <c r="E30" s="27"/>
      <c r="F30" s="27"/>
    </row>
    <row r="31" spans="1:10" x14ac:dyDescent="0.25">
      <c r="A31" s="27"/>
      <c r="B31" s="27"/>
      <c r="C31" s="27"/>
      <c r="D31" s="27"/>
      <c r="E31" s="27"/>
      <c r="F31" s="27"/>
    </row>
    <row r="32" spans="1:10" x14ac:dyDescent="0.25">
      <c r="A32" s="27"/>
      <c r="B32" s="27"/>
      <c r="C32" s="27"/>
      <c r="D32" s="27"/>
      <c r="E32" s="27"/>
      <c r="F32" s="27"/>
    </row>
  </sheetData>
  <sortState xmlns:xlrd2="http://schemas.microsoft.com/office/spreadsheetml/2017/richdata2" ref="A5:F17">
    <sortCondition descending="1" ref="F5:F17"/>
  </sortState>
  <mergeCells count="2">
    <mergeCell ref="A2:F2"/>
    <mergeCell ref="A20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K34"/>
  <sheetViews>
    <sheetView tabSelected="1" workbookViewId="0">
      <selection activeCell="H4" sqref="H4"/>
    </sheetView>
  </sheetViews>
  <sheetFormatPr defaultRowHeight="15" x14ac:dyDescent="0.25"/>
  <cols>
    <col min="1" max="1" width="29.140625" bestFit="1" customWidth="1"/>
    <col min="2" max="2" width="11.85546875" bestFit="1" customWidth="1"/>
    <col min="3" max="3" width="12.42578125" bestFit="1" customWidth="1"/>
    <col min="4" max="4" width="16.140625" bestFit="1" customWidth="1"/>
    <col min="5" max="5" width="15.85546875" customWidth="1"/>
    <col min="6" max="6" width="20" bestFit="1" customWidth="1"/>
    <col min="8" max="8" width="22.85546875" customWidth="1"/>
    <col min="9" max="9" width="16.42578125" customWidth="1"/>
    <col min="10" max="10" width="17" customWidth="1"/>
  </cols>
  <sheetData>
    <row r="2" spans="1:11" ht="14.45" x14ac:dyDescent="0.35">
      <c r="A2" s="49" t="s">
        <v>36</v>
      </c>
      <c r="B2" s="49"/>
      <c r="C2" s="49"/>
      <c r="D2" s="49"/>
      <c r="E2" s="49"/>
      <c r="F2" s="49"/>
    </row>
    <row r="4" spans="1:11" ht="45" x14ac:dyDescent="0.25">
      <c r="A4" s="5" t="s">
        <v>35</v>
      </c>
      <c r="B4" s="5" t="s">
        <v>15</v>
      </c>
      <c r="C4" s="5" t="s">
        <v>16</v>
      </c>
      <c r="D4" s="6" t="s">
        <v>67</v>
      </c>
      <c r="E4" s="6" t="s">
        <v>68</v>
      </c>
      <c r="F4" s="6" t="s">
        <v>69</v>
      </c>
      <c r="H4" s="26"/>
      <c r="I4" s="26"/>
      <c r="J4" s="26"/>
      <c r="K4" s="27"/>
    </row>
    <row r="5" spans="1:11" ht="14.45" x14ac:dyDescent="0.35">
      <c r="A5" s="7" t="s">
        <v>18</v>
      </c>
      <c r="B5" s="8">
        <v>7</v>
      </c>
      <c r="C5" s="8">
        <v>5163</v>
      </c>
      <c r="D5" s="39">
        <v>0</v>
      </c>
      <c r="E5" s="39">
        <v>65627.02</v>
      </c>
      <c r="F5" s="39">
        <f>D5+E5</f>
        <v>65627.02</v>
      </c>
      <c r="H5" s="43"/>
      <c r="I5" s="43"/>
      <c r="J5" s="43"/>
      <c r="K5" s="27"/>
    </row>
    <row r="6" spans="1:11" ht="14.45" x14ac:dyDescent="0.35">
      <c r="A6" s="7" t="s">
        <v>20</v>
      </c>
      <c r="B6" s="8">
        <v>4</v>
      </c>
      <c r="C6" s="8">
        <v>604</v>
      </c>
      <c r="D6" s="39">
        <f t="shared" ref="D6:D22" si="0">F6-E6</f>
        <v>120.066794</v>
      </c>
      <c r="E6" s="39">
        <v>75.421499999999995</v>
      </c>
      <c r="F6" s="39">
        <v>195.488294</v>
      </c>
      <c r="H6" s="48"/>
      <c r="I6" s="43"/>
      <c r="J6" s="43"/>
      <c r="K6" s="27"/>
    </row>
    <row r="7" spans="1:11" ht="14.45" x14ac:dyDescent="0.35">
      <c r="A7" s="7" t="s">
        <v>21</v>
      </c>
      <c r="B7" s="8">
        <v>3</v>
      </c>
      <c r="C7" s="8">
        <v>153</v>
      </c>
      <c r="D7" s="39">
        <f t="shared" si="0"/>
        <v>13.875405000000001</v>
      </c>
      <c r="E7" s="39">
        <v>81.616504000000006</v>
      </c>
      <c r="F7" s="39">
        <v>95.491909000000007</v>
      </c>
      <c r="H7" s="43"/>
      <c r="I7" s="43"/>
      <c r="J7" s="43"/>
      <c r="K7" s="27"/>
    </row>
    <row r="8" spans="1:11" ht="14.45" x14ac:dyDescent="0.35">
      <c r="A8" s="7" t="s">
        <v>22</v>
      </c>
      <c r="B8" s="8">
        <v>6</v>
      </c>
      <c r="C8" s="8">
        <v>164</v>
      </c>
      <c r="D8" s="39">
        <f t="shared" si="0"/>
        <v>30.591389999999997</v>
      </c>
      <c r="E8" s="39">
        <v>30.416767</v>
      </c>
      <c r="F8" s="39">
        <v>61.008156999999997</v>
      </c>
      <c r="H8" s="47"/>
      <c r="I8" s="43"/>
      <c r="J8" s="43"/>
      <c r="K8" s="27"/>
    </row>
    <row r="9" spans="1:11" ht="14.45" x14ac:dyDescent="0.35">
      <c r="A9" s="7" t="s">
        <v>23</v>
      </c>
      <c r="B9" s="8">
        <v>4</v>
      </c>
      <c r="C9" s="8">
        <v>115</v>
      </c>
      <c r="D9" s="39">
        <f t="shared" si="0"/>
        <v>43.220647</v>
      </c>
      <c r="E9" s="39">
        <v>8.7243750000000002</v>
      </c>
      <c r="F9" s="39">
        <v>51.945022000000002</v>
      </c>
      <c r="H9" s="43"/>
      <c r="I9" s="43"/>
      <c r="J9" s="43"/>
      <c r="K9" s="27"/>
    </row>
    <row r="10" spans="1:11" ht="14.45" x14ac:dyDescent="0.35">
      <c r="A10" s="7" t="s">
        <v>24</v>
      </c>
      <c r="B10" s="8">
        <v>2</v>
      </c>
      <c r="C10" s="8">
        <v>53</v>
      </c>
      <c r="D10" s="39">
        <f t="shared" si="0"/>
        <v>36.488073</v>
      </c>
      <c r="E10" s="39">
        <v>8.0642189999999996</v>
      </c>
      <c r="F10" s="39">
        <v>44.552292000000001</v>
      </c>
      <c r="H10" s="43"/>
      <c r="I10" s="43"/>
      <c r="J10" s="43"/>
      <c r="K10" s="27"/>
    </row>
    <row r="11" spans="1:11" ht="14.45" x14ac:dyDescent="0.35">
      <c r="A11" s="7" t="s">
        <v>25</v>
      </c>
      <c r="B11" s="8">
        <v>1</v>
      </c>
      <c r="C11" s="8">
        <v>80</v>
      </c>
      <c r="D11" s="39">
        <f t="shared" si="0"/>
        <v>29.3</v>
      </c>
      <c r="E11" s="39">
        <v>0</v>
      </c>
      <c r="F11" s="39">
        <v>29.3</v>
      </c>
      <c r="H11" s="43"/>
      <c r="I11" s="43"/>
      <c r="J11" s="43"/>
      <c r="K11" s="27"/>
    </row>
    <row r="12" spans="1:11" ht="14.45" x14ac:dyDescent="0.35">
      <c r="A12" s="7" t="s">
        <v>19</v>
      </c>
      <c r="B12" s="8">
        <v>5</v>
      </c>
      <c r="C12" s="8">
        <v>6127</v>
      </c>
      <c r="D12" s="39">
        <v>25.14</v>
      </c>
      <c r="E12" s="39">
        <v>0</v>
      </c>
      <c r="F12" s="39">
        <f>D12+E12</f>
        <v>25.14</v>
      </c>
      <c r="H12" s="43"/>
      <c r="I12" s="43"/>
      <c r="J12" s="43"/>
      <c r="K12" s="27"/>
    </row>
    <row r="13" spans="1:11" ht="14.45" x14ac:dyDescent="0.35">
      <c r="A13" s="7" t="s">
        <v>26</v>
      </c>
      <c r="B13" s="8">
        <v>1</v>
      </c>
      <c r="C13" s="8">
        <v>105</v>
      </c>
      <c r="D13" s="39">
        <f t="shared" si="0"/>
        <v>23.1</v>
      </c>
      <c r="E13" s="39">
        <v>0</v>
      </c>
      <c r="F13" s="39">
        <v>23.1</v>
      </c>
      <c r="H13" s="43"/>
      <c r="I13" s="43"/>
      <c r="J13" s="43"/>
      <c r="K13" s="27"/>
    </row>
    <row r="14" spans="1:11" ht="14.45" x14ac:dyDescent="0.35">
      <c r="A14" s="7" t="s">
        <v>27</v>
      </c>
      <c r="B14" s="8">
        <v>1</v>
      </c>
      <c r="C14" s="8">
        <v>48</v>
      </c>
      <c r="D14" s="39">
        <f t="shared" si="0"/>
        <v>17.046018</v>
      </c>
      <c r="E14" s="39">
        <v>0</v>
      </c>
      <c r="F14" s="39">
        <v>17.046018</v>
      </c>
      <c r="H14" s="43"/>
      <c r="I14" s="43"/>
      <c r="J14" s="43"/>
      <c r="K14" s="27"/>
    </row>
    <row r="15" spans="1:11" ht="14.45" x14ac:dyDescent="0.35">
      <c r="A15" s="7" t="s">
        <v>28</v>
      </c>
      <c r="B15" s="8">
        <v>3</v>
      </c>
      <c r="C15" s="8">
        <v>60</v>
      </c>
      <c r="D15" s="39">
        <f t="shared" si="0"/>
        <v>13.701734999999999</v>
      </c>
      <c r="E15" s="39">
        <v>0.44817099999999999</v>
      </c>
      <c r="F15" s="39">
        <v>14.149906</v>
      </c>
      <c r="H15" s="43"/>
      <c r="I15" s="43"/>
      <c r="J15" s="43"/>
      <c r="K15" s="27"/>
    </row>
    <row r="16" spans="1:11" ht="14.45" x14ac:dyDescent="0.35">
      <c r="A16" s="7" t="s">
        <v>29</v>
      </c>
      <c r="B16" s="8">
        <v>1</v>
      </c>
      <c r="C16" s="8">
        <v>15</v>
      </c>
      <c r="D16" s="39">
        <f t="shared" si="0"/>
        <v>13.75</v>
      </c>
      <c r="E16" s="39">
        <v>0</v>
      </c>
      <c r="F16" s="39">
        <v>13.75</v>
      </c>
      <c r="H16" s="43"/>
      <c r="I16" s="43"/>
      <c r="J16" s="43"/>
      <c r="K16" s="27"/>
    </row>
    <row r="17" spans="1:11" ht="14.45" x14ac:dyDescent="0.35">
      <c r="A17" s="7" t="s">
        <v>30</v>
      </c>
      <c r="B17" s="8">
        <v>2</v>
      </c>
      <c r="C17" s="8">
        <v>0</v>
      </c>
      <c r="D17" s="39">
        <f t="shared" si="0"/>
        <v>6.94</v>
      </c>
      <c r="E17" s="39">
        <v>0</v>
      </c>
      <c r="F17" s="39">
        <v>6.94</v>
      </c>
      <c r="H17" s="43"/>
      <c r="I17" s="43"/>
      <c r="J17" s="43"/>
      <c r="K17" s="27"/>
    </row>
    <row r="18" spans="1:11" ht="14.45" x14ac:dyDescent="0.35">
      <c r="A18" s="7" t="s">
        <v>31</v>
      </c>
      <c r="B18" s="8">
        <v>1</v>
      </c>
      <c r="C18" s="8">
        <v>15</v>
      </c>
      <c r="D18" s="39">
        <f t="shared" si="0"/>
        <v>6.6837479999999996</v>
      </c>
      <c r="E18" s="39">
        <v>0</v>
      </c>
      <c r="F18" s="39">
        <v>6.6837479999999996</v>
      </c>
      <c r="H18" s="43"/>
      <c r="I18" s="43"/>
      <c r="J18" s="43"/>
      <c r="K18" s="27"/>
    </row>
    <row r="19" spans="1:11" ht="14.45" x14ac:dyDescent="0.35">
      <c r="A19" s="7" t="s">
        <v>32</v>
      </c>
      <c r="B19" s="8">
        <v>1</v>
      </c>
      <c r="C19" s="8">
        <v>12</v>
      </c>
      <c r="D19" s="39">
        <f t="shared" si="0"/>
        <v>3.9901309999999999</v>
      </c>
      <c r="E19" s="39">
        <v>0</v>
      </c>
      <c r="F19" s="39">
        <v>3.9901309999999999</v>
      </c>
      <c r="H19" s="43"/>
      <c r="I19" s="43"/>
      <c r="J19" s="43"/>
      <c r="K19" s="27"/>
    </row>
    <row r="20" spans="1:11" x14ac:dyDescent="0.25">
      <c r="A20" s="7" t="s">
        <v>33</v>
      </c>
      <c r="B20" s="8">
        <v>1</v>
      </c>
      <c r="C20" s="8">
        <v>9</v>
      </c>
      <c r="D20" s="39">
        <f t="shared" si="0"/>
        <v>2</v>
      </c>
      <c r="E20" s="39">
        <v>0</v>
      </c>
      <c r="F20" s="39">
        <v>2</v>
      </c>
      <c r="H20" s="43"/>
      <c r="I20" s="43"/>
      <c r="J20" s="43"/>
      <c r="K20" s="27"/>
    </row>
    <row r="21" spans="1:11" x14ac:dyDescent="0.25">
      <c r="A21" s="7" t="s">
        <v>34</v>
      </c>
      <c r="B21" s="8">
        <v>5</v>
      </c>
      <c r="C21" s="8">
        <v>10</v>
      </c>
      <c r="D21" s="39">
        <f t="shared" si="0"/>
        <v>0</v>
      </c>
      <c r="E21" s="39">
        <v>1.7</v>
      </c>
      <c r="F21" s="39">
        <v>1.7</v>
      </c>
      <c r="H21" s="43"/>
      <c r="I21" s="43"/>
      <c r="J21" s="43"/>
      <c r="K21" s="27"/>
    </row>
    <row r="22" spans="1:11" x14ac:dyDescent="0.25">
      <c r="A22" s="10" t="s">
        <v>13</v>
      </c>
      <c r="B22" s="9">
        <v>48</v>
      </c>
      <c r="C22" s="9">
        <v>12733</v>
      </c>
      <c r="D22" s="42">
        <f t="shared" si="0"/>
        <v>385.89394099998754</v>
      </c>
      <c r="E22" s="41">
        <f>SUM(E5:E21)</f>
        <v>65833.411536000014</v>
      </c>
      <c r="F22" s="41">
        <f>SUM(F5:F21)</f>
        <v>66219.305477000002</v>
      </c>
      <c r="H22" s="33"/>
      <c r="I22" s="33"/>
      <c r="J22" s="33"/>
      <c r="K22" s="27"/>
    </row>
    <row r="23" spans="1:11" x14ac:dyDescent="0.25">
      <c r="H23" s="27"/>
      <c r="I23" s="27"/>
      <c r="J23" s="27"/>
      <c r="K23" s="27"/>
    </row>
    <row r="24" spans="1:11" x14ac:dyDescent="0.25">
      <c r="A24" s="50"/>
      <c r="B24" s="50"/>
      <c r="C24" s="50"/>
      <c r="D24" s="50"/>
      <c r="E24" s="50"/>
      <c r="F24" s="50"/>
      <c r="G24" s="27"/>
      <c r="H24" s="27"/>
      <c r="I24" s="27"/>
      <c r="J24" s="27"/>
      <c r="K24" s="27"/>
    </row>
    <row r="25" spans="1:1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x14ac:dyDescent="0.25">
      <c r="A26" s="30"/>
      <c r="B26" s="30"/>
      <c r="C26" s="30"/>
      <c r="D26" s="26"/>
      <c r="E26" s="26"/>
      <c r="F26" s="26"/>
      <c r="G26" s="27"/>
      <c r="H26" s="27"/>
    </row>
    <row r="27" spans="1:11" x14ac:dyDescent="0.25">
      <c r="A27" s="37"/>
      <c r="B27" s="38"/>
      <c r="C27" s="38"/>
      <c r="D27" s="31"/>
      <c r="E27" s="31"/>
      <c r="F27" s="31"/>
      <c r="G27" s="27"/>
      <c r="H27" s="27"/>
    </row>
    <row r="28" spans="1:11" x14ac:dyDescent="0.25">
      <c r="A28" s="30"/>
      <c r="B28" s="30"/>
      <c r="C28" s="30"/>
      <c r="D28" s="33"/>
      <c r="E28" s="33"/>
      <c r="F28" s="33"/>
      <c r="G28" s="27"/>
      <c r="H28" s="27"/>
    </row>
    <row r="29" spans="1:11" x14ac:dyDescent="0.25">
      <c r="A29" s="27"/>
      <c r="B29" s="27"/>
      <c r="C29" s="27"/>
      <c r="D29" s="27"/>
      <c r="E29" s="27"/>
      <c r="F29" s="27"/>
      <c r="G29" s="27"/>
      <c r="H29" s="27"/>
    </row>
    <row r="30" spans="1:11" x14ac:dyDescent="0.25">
      <c r="A30" s="27"/>
      <c r="B30" s="27"/>
      <c r="C30" s="27"/>
      <c r="D30" s="27"/>
      <c r="E30" s="27"/>
      <c r="F30" s="27"/>
      <c r="G30" s="27"/>
      <c r="H30" s="27"/>
    </row>
    <row r="31" spans="1:11" x14ac:dyDescent="0.25">
      <c r="A31" s="27"/>
      <c r="B31" s="27"/>
      <c r="C31" s="27"/>
      <c r="D31" s="27"/>
      <c r="E31" s="27"/>
      <c r="F31" s="27"/>
      <c r="G31" s="27"/>
      <c r="H31" s="27"/>
    </row>
    <row r="32" spans="1:11" x14ac:dyDescent="0.25">
      <c r="A32" s="27"/>
      <c r="B32" s="27"/>
      <c r="C32" s="27"/>
      <c r="D32" s="27"/>
      <c r="E32" s="27"/>
      <c r="F32" s="27"/>
      <c r="G32" s="27"/>
      <c r="H32" s="27"/>
    </row>
    <row r="33" spans="1:8" x14ac:dyDescent="0.25">
      <c r="A33" s="27"/>
      <c r="B33" s="27"/>
      <c r="C33" s="27"/>
      <c r="D33" s="27"/>
      <c r="E33" s="27"/>
      <c r="F33" s="27"/>
      <c r="G33" s="27"/>
      <c r="H33" s="27"/>
    </row>
    <row r="34" spans="1:8" x14ac:dyDescent="0.25">
      <c r="A34" s="27"/>
      <c r="B34" s="27"/>
      <c r="C34" s="27"/>
      <c r="D34" s="27"/>
      <c r="E34" s="27"/>
      <c r="F34" s="27"/>
      <c r="G34" s="27"/>
      <c r="H34" s="27"/>
    </row>
  </sheetData>
  <mergeCells count="2">
    <mergeCell ref="A2:F2"/>
    <mergeCell ref="A24:F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F18"/>
  <sheetViews>
    <sheetView workbookViewId="0">
      <selection activeCell="C22" sqref="C22"/>
    </sheetView>
  </sheetViews>
  <sheetFormatPr defaultRowHeight="15" x14ac:dyDescent="0.25"/>
  <cols>
    <col min="1" max="1" width="26.5703125" bestFit="1" customWidth="1"/>
    <col min="2" max="2" width="11.85546875" bestFit="1" customWidth="1"/>
    <col min="3" max="3" width="12.42578125" bestFit="1" customWidth="1"/>
    <col min="4" max="4" width="16.85546875" customWidth="1"/>
    <col min="6" max="6" width="15.85546875" customWidth="1"/>
  </cols>
  <sheetData>
    <row r="1" spans="1:6" x14ac:dyDescent="0.25">
      <c r="F1" s="27"/>
    </row>
    <row r="2" spans="1:6" ht="27.6" customHeight="1" x14ac:dyDescent="0.35">
      <c r="A2" s="51" t="s">
        <v>49</v>
      </c>
      <c r="B2" s="51"/>
      <c r="C2" s="51"/>
      <c r="D2" s="51"/>
      <c r="E2" s="12"/>
      <c r="F2" s="46"/>
    </row>
    <row r="3" spans="1:6" x14ac:dyDescent="0.25">
      <c r="F3" s="27"/>
    </row>
    <row r="4" spans="1:6" ht="45" x14ac:dyDescent="0.25">
      <c r="A4" s="5" t="s">
        <v>48</v>
      </c>
      <c r="B4" s="5" t="s">
        <v>15</v>
      </c>
      <c r="C4" s="5" t="s">
        <v>16</v>
      </c>
      <c r="D4" s="6" t="s">
        <v>70</v>
      </c>
      <c r="F4" s="26"/>
    </row>
    <row r="5" spans="1:6" x14ac:dyDescent="0.25">
      <c r="A5" s="11" t="s">
        <v>44</v>
      </c>
      <c r="B5" s="2">
        <v>3</v>
      </c>
      <c r="C5" s="2">
        <v>3679</v>
      </c>
      <c r="D5" s="34">
        <v>43842</v>
      </c>
      <c r="F5" s="31"/>
    </row>
    <row r="6" spans="1:6" x14ac:dyDescent="0.25">
      <c r="A6" s="11" t="s">
        <v>38</v>
      </c>
      <c r="B6" s="2">
        <v>3</v>
      </c>
      <c r="C6" s="2">
        <v>7086</v>
      </c>
      <c r="D6" s="34">
        <v>18920</v>
      </c>
      <c r="F6" s="31"/>
    </row>
    <row r="7" spans="1:6" x14ac:dyDescent="0.25">
      <c r="A7" s="11" t="s">
        <v>42</v>
      </c>
      <c r="B7" s="2">
        <v>3</v>
      </c>
      <c r="C7" s="2">
        <v>589</v>
      </c>
      <c r="D7" s="34">
        <v>2958</v>
      </c>
      <c r="F7" s="31"/>
    </row>
    <row r="8" spans="1:6" x14ac:dyDescent="0.25">
      <c r="A8" s="11" t="s">
        <v>39</v>
      </c>
      <c r="B8" s="2">
        <v>3</v>
      </c>
      <c r="C8" s="2">
        <v>130</v>
      </c>
      <c r="D8" s="34">
        <v>66.599999999999994</v>
      </c>
      <c r="F8" s="31"/>
    </row>
    <row r="9" spans="1:6" x14ac:dyDescent="0.25">
      <c r="A9" s="11" t="s">
        <v>46</v>
      </c>
      <c r="B9" s="2">
        <v>1</v>
      </c>
      <c r="C9" s="2">
        <v>92</v>
      </c>
      <c r="D9" s="34">
        <v>16.3</v>
      </c>
      <c r="F9" s="31"/>
    </row>
    <row r="10" spans="1:6" x14ac:dyDescent="0.25">
      <c r="A10" s="11" t="s">
        <v>40</v>
      </c>
      <c r="B10" s="2">
        <v>1</v>
      </c>
      <c r="C10" s="2">
        <v>92</v>
      </c>
      <c r="D10" s="34">
        <v>12.95</v>
      </c>
      <c r="F10" s="31"/>
    </row>
    <row r="11" spans="1:6" x14ac:dyDescent="0.25">
      <c r="A11" s="11" t="s">
        <v>45</v>
      </c>
      <c r="B11" s="2">
        <v>1</v>
      </c>
      <c r="C11" s="2">
        <v>31</v>
      </c>
      <c r="D11" s="34">
        <v>8.06</v>
      </c>
      <c r="F11" s="31"/>
    </row>
    <row r="12" spans="1:6" x14ac:dyDescent="0.25">
      <c r="A12" s="11" t="s">
        <v>47</v>
      </c>
      <c r="B12" s="2">
        <v>2</v>
      </c>
      <c r="C12" s="2">
        <v>78</v>
      </c>
      <c r="D12" s="34">
        <v>5.2</v>
      </c>
      <c r="F12" s="31"/>
    </row>
    <row r="13" spans="1:6" x14ac:dyDescent="0.25">
      <c r="A13" s="11" t="s">
        <v>37</v>
      </c>
      <c r="B13" s="2">
        <v>1</v>
      </c>
      <c r="C13" s="2">
        <v>10</v>
      </c>
      <c r="D13" s="34">
        <v>1.7</v>
      </c>
      <c r="F13" s="31"/>
    </row>
    <row r="14" spans="1:6" x14ac:dyDescent="0.25">
      <c r="A14" s="11" t="s">
        <v>41</v>
      </c>
      <c r="B14" s="2">
        <v>1</v>
      </c>
      <c r="C14" s="2">
        <v>0</v>
      </c>
      <c r="D14" s="34">
        <v>1.1117049999999999</v>
      </c>
      <c r="F14" s="31"/>
    </row>
    <row r="15" spans="1:6" x14ac:dyDescent="0.25">
      <c r="A15" s="11" t="s">
        <v>43</v>
      </c>
      <c r="B15" s="2">
        <v>1</v>
      </c>
      <c r="C15" s="2">
        <v>3</v>
      </c>
      <c r="D15" s="34">
        <v>1.5</v>
      </c>
      <c r="F15" s="31"/>
    </row>
    <row r="16" spans="1:6" x14ac:dyDescent="0.25">
      <c r="A16" s="10" t="s">
        <v>13</v>
      </c>
      <c r="B16" s="9">
        <v>20</v>
      </c>
      <c r="C16" s="9">
        <v>11790</v>
      </c>
      <c r="D16" s="40">
        <f>SUM(D5:D15)</f>
        <v>65833.421705000001</v>
      </c>
      <c r="F16" s="33"/>
    </row>
    <row r="17" spans="4:6" x14ac:dyDescent="0.25">
      <c r="D17" s="44"/>
      <c r="F17" s="27"/>
    </row>
    <row r="18" spans="4:6" x14ac:dyDescent="0.25">
      <c r="D18" s="45"/>
    </row>
  </sheetData>
  <sortState xmlns:xlrd2="http://schemas.microsoft.com/office/spreadsheetml/2017/richdata2" ref="A5:D15">
    <sortCondition descending="1" ref="D5:D15"/>
  </sortState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by State</vt:lpstr>
      <vt:lpstr>Table by Industry</vt:lpstr>
      <vt:lpstr>Table by Location</vt:lpstr>
      <vt:lpstr>Table 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Zamzarina Esmail</dc:creator>
  <cp:lastModifiedBy>INVEST</cp:lastModifiedBy>
  <dcterms:created xsi:type="dcterms:W3CDTF">2022-03-10T06:06:25Z</dcterms:created>
  <dcterms:modified xsi:type="dcterms:W3CDTF">2024-10-30T03:59:41Z</dcterms:modified>
</cp:coreProperties>
</file>