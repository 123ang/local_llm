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Approved Investment\Approved Investment\Approved Investment 2020\"/>
    </mc:Choice>
  </mc:AlternateContent>
  <xr:revisionPtr revIDLastSave="0" documentId="8_{52E2782C-0126-422A-8EB7-11FE59111FA5}" xr6:coauthVersionLast="47" xr6:coauthVersionMax="47" xr10:uidLastSave="{00000000-0000-0000-0000-000000000000}"/>
  <bookViews>
    <workbookView xWindow="-108" yWindow="-108" windowWidth="23256" windowHeight="12456" tabRatio="703" activeTab="3" xr2:uid="{EBCEC163-3016-4673-9C8B-0E8CFEB9E96E}"/>
  </bookViews>
  <sheets>
    <sheet name="By State" sheetId="1" r:id="rId1"/>
    <sheet name="By Ind" sheetId="2" r:id="rId2"/>
    <sheet name="By Loc" sheetId="3" r:id="rId3"/>
    <sheet name="By Count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4" l="1"/>
  <c r="F5" i="3"/>
  <c r="F6" i="3"/>
  <c r="F7" i="3"/>
  <c r="F8" i="3"/>
  <c r="F9" i="3"/>
  <c r="F10" i="3"/>
  <c r="F11" i="3"/>
  <c r="F12" i="3"/>
  <c r="F26" i="3" s="1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B26" i="3"/>
  <c r="C26" i="3"/>
  <c r="D26" i="3"/>
  <c r="E26" i="3"/>
  <c r="F4" i="2"/>
  <c r="F5" i="2"/>
  <c r="F6" i="2"/>
  <c r="F7" i="2"/>
  <c r="F8" i="2"/>
  <c r="F9" i="2"/>
  <c r="F10" i="2"/>
  <c r="F11" i="2"/>
  <c r="F12" i="2"/>
  <c r="F13" i="2"/>
  <c r="F14" i="2"/>
  <c r="F16" i="2"/>
  <c r="F17" i="2"/>
  <c r="F18" i="2"/>
  <c r="F19" i="2"/>
  <c r="C20" i="2"/>
  <c r="D20" i="2"/>
  <c r="F20" i="2" s="1"/>
  <c r="E20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D19" i="1"/>
  <c r="E19" i="1"/>
  <c r="F19" i="1"/>
</calcChain>
</file>

<file path=xl/sharedStrings.xml><?xml version="1.0" encoding="utf-8"?>
<sst xmlns="http://schemas.openxmlformats.org/spreadsheetml/2006/main" count="93" uniqueCount="81">
  <si>
    <t>State</t>
  </si>
  <si>
    <t>W.P. - Kuala Lumpur</t>
  </si>
  <si>
    <t>W.P.- Labuan</t>
  </si>
  <si>
    <t>Selangor</t>
  </si>
  <si>
    <t>Pulau Pinang</t>
  </si>
  <si>
    <t>Perak</t>
  </si>
  <si>
    <t>Johor</t>
  </si>
  <si>
    <t>Negeri Sembilan</t>
  </si>
  <si>
    <t>Melaka</t>
  </si>
  <si>
    <t>Kedah</t>
  </si>
  <si>
    <t>Pahang</t>
  </si>
  <si>
    <t>Kelantan</t>
  </si>
  <si>
    <t>Terengganu</t>
  </si>
  <si>
    <t>Perlis</t>
  </si>
  <si>
    <t>Sabah</t>
  </si>
  <si>
    <t>Sarawak</t>
  </si>
  <si>
    <t>Total</t>
  </si>
  <si>
    <t>Industry</t>
  </si>
  <si>
    <t>Food Manufacturing</t>
  </si>
  <si>
    <t>Textiles &amp; Textile Products</t>
  </si>
  <si>
    <t>Wood &amp; Wood Products</t>
  </si>
  <si>
    <t>Furniture &amp; Fixtures</t>
  </si>
  <si>
    <t>Paper,Printing &amp; Publishing</t>
  </si>
  <si>
    <t>Chemicals &amp; Chemical Products</t>
  </si>
  <si>
    <t>Rubber Products</t>
  </si>
  <si>
    <t>Plastic Products</t>
  </si>
  <si>
    <t>Non-Metallic Mineral Products</t>
  </si>
  <si>
    <t>Basic Metal Products</t>
  </si>
  <si>
    <t>Fabricated Metal Products</t>
  </si>
  <si>
    <t>Machinery &amp; Equipment</t>
  </si>
  <si>
    <t>Electrical &amp; Electronics</t>
  </si>
  <si>
    <t>Transport Equipment</t>
  </si>
  <si>
    <t>Scientific &amp; Measuring Equipment</t>
  </si>
  <si>
    <t>Miscellaneous</t>
  </si>
  <si>
    <t>TOTAL</t>
  </si>
  <si>
    <t>Location</t>
  </si>
  <si>
    <t>Alor Star</t>
  </si>
  <si>
    <t>Mergong II IE</t>
  </si>
  <si>
    <t>Sungai Petani</t>
  </si>
  <si>
    <t>Bakar Arang IE</t>
  </si>
  <si>
    <t>Tikam Batu IE</t>
  </si>
  <si>
    <t>Kulim IE</t>
  </si>
  <si>
    <t>Mergong Barrage IE</t>
  </si>
  <si>
    <t>Bandar Darulaman IE</t>
  </si>
  <si>
    <t>Sungai Petani IE</t>
  </si>
  <si>
    <t>Bedong</t>
  </si>
  <si>
    <t>Kuala Muda</t>
  </si>
  <si>
    <t>Kulim High Tech Ind. Park</t>
  </si>
  <si>
    <t>Lunas</t>
  </si>
  <si>
    <t>Padang Serai</t>
  </si>
  <si>
    <t>Gurun IE</t>
  </si>
  <si>
    <t>Kuala Ketil IE</t>
  </si>
  <si>
    <t>Kulim</t>
  </si>
  <si>
    <t>Padang Meha IE</t>
  </si>
  <si>
    <t>Sungai Lalang (MIEL) IE</t>
  </si>
  <si>
    <t>Taman Kempas Light IE</t>
  </si>
  <si>
    <t>Taman Makmur IE</t>
  </si>
  <si>
    <t>China</t>
  </si>
  <si>
    <t>Chinese Taipei</t>
  </si>
  <si>
    <t>Hong Kong</t>
  </si>
  <si>
    <t>India</t>
  </si>
  <si>
    <t>Japan</t>
  </si>
  <si>
    <t>Korea</t>
  </si>
  <si>
    <t>Others</t>
  </si>
  <si>
    <t>Samoa</t>
  </si>
  <si>
    <t>Singapore</t>
  </si>
  <si>
    <t>Switzerland</t>
  </si>
  <si>
    <t>USA</t>
  </si>
  <si>
    <t>Country</t>
  </si>
  <si>
    <t>Total Employment</t>
  </si>
  <si>
    <t>Approved Manufacturing Projects In Kedah By Location For The Year 2020</t>
  </si>
  <si>
    <t>Approved Manufacturing Projects By State For The Year 2020</t>
  </si>
  <si>
    <t>No.Of Projects</t>
  </si>
  <si>
    <t>Employement</t>
  </si>
  <si>
    <t>Domestic Investment(RM - Million)</t>
  </si>
  <si>
    <t>Foreign Investment(RM - Million)</t>
  </si>
  <si>
    <t>Total Investment(RM - Million)</t>
  </si>
  <si>
    <t>Approved Manufacturing Projects In Kedah By Industry For The Year 2020</t>
  </si>
  <si>
    <t>Foreign Investment (RM- MIllion)</t>
  </si>
  <si>
    <t>No of Projects</t>
  </si>
  <si>
    <t>Approved Manufacturing Projects In Kedah By Country Participant For The Year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</si>
</sst>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2" applyNumberFormat="0" applyAlignment="0" applyProtection="0"/>
    <xf numFmtId="0" fontId="7" fillId="28" borderId="3" applyNumberFormat="0" applyAlignment="0" applyProtection="0"/>
    <xf numFmtId="177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2" applyNumberFormat="0" applyAlignment="0" applyProtection="0"/>
    <xf numFmtId="0" fontId="14" fillId="0" borderId="7" applyNumberFormat="0" applyFill="0" applyAlignment="0" applyProtection="0"/>
    <xf numFmtId="0" fontId="15" fillId="31" borderId="0" applyNumberFormat="0" applyBorder="0" applyAlignment="0" applyProtection="0"/>
    <xf numFmtId="0" fontId="3" fillId="32" borderId="8" applyNumberFormat="0" applyFont="0" applyAlignment="0" applyProtection="0"/>
    <xf numFmtId="0" fontId="16" fillId="27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11" xfId="0" applyFont="1" applyBorder="1" applyAlignment="1">
      <alignment vertical="top" wrapText="1"/>
    </xf>
    <xf numFmtId="3" fontId="20" fillId="0" borderId="11" xfId="0" applyNumberFormat="1" applyFont="1" applyBorder="1" applyAlignment="1">
      <alignment vertical="top" wrapText="1"/>
    </xf>
    <xf numFmtId="0" fontId="20" fillId="33" borderId="11" xfId="0" applyFont="1" applyFill="1" applyBorder="1" applyAlignment="1">
      <alignment vertical="top" wrapText="1"/>
    </xf>
    <xf numFmtId="3" fontId="20" fillId="33" borderId="11" xfId="0" applyNumberFormat="1" applyFont="1" applyFill="1" applyBorder="1" applyAlignment="1">
      <alignment vertical="top" wrapText="1"/>
    </xf>
    <xf numFmtId="0" fontId="21" fillId="34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left" vertical="top" wrapText="1"/>
    </xf>
    <xf numFmtId="4" fontId="20" fillId="33" borderId="11" xfId="0" applyNumberFormat="1" applyFont="1" applyFill="1" applyBorder="1" applyAlignment="1">
      <alignment vertical="top" wrapText="1"/>
    </xf>
    <xf numFmtId="177" fontId="20" fillId="33" borderId="11" xfId="28" applyFont="1" applyFill="1" applyBorder="1" applyAlignment="1">
      <alignment vertical="top" wrapText="1"/>
    </xf>
    <xf numFmtId="4" fontId="20" fillId="0" borderId="11" xfId="0" applyNumberFormat="1" applyFont="1" applyBorder="1" applyAlignment="1">
      <alignment vertical="top" wrapText="1"/>
    </xf>
    <xf numFmtId="177" fontId="20" fillId="0" borderId="11" xfId="28" applyFont="1" applyFill="1" applyBorder="1" applyAlignment="1">
      <alignment vertical="top" wrapText="1"/>
    </xf>
    <xf numFmtId="4" fontId="20" fillId="0" borderId="11" xfId="0" applyNumberFormat="1" applyFont="1" applyFill="1" applyBorder="1" applyAlignment="1">
      <alignment vertical="top" wrapText="1"/>
    </xf>
    <xf numFmtId="0" fontId="20" fillId="0" borderId="0" xfId="0" applyFont="1" applyAlignment="1">
      <alignment horizontal="center" vertical="center"/>
    </xf>
    <xf numFmtId="0" fontId="21" fillId="34" borderId="14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177" fontId="20" fillId="0" borderId="16" xfId="28" applyFont="1" applyBorder="1" applyAlignment="1">
      <alignment horizontal="center" vertical="center" wrapText="1"/>
    </xf>
    <xf numFmtId="177" fontId="20" fillId="0" borderId="16" xfId="28" applyFont="1" applyBorder="1" applyAlignment="1">
      <alignment horizontal="right" vertical="center" wrapText="1"/>
    </xf>
    <xf numFmtId="0" fontId="20" fillId="0" borderId="13" xfId="0" applyFont="1" applyBorder="1" applyAlignment="1">
      <alignment horizontal="left" vertical="center" wrapText="1"/>
    </xf>
    <xf numFmtId="177" fontId="20" fillId="0" borderId="11" xfId="28" applyFont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left" vertical="center" wrapText="1"/>
    </xf>
    <xf numFmtId="177" fontId="20" fillId="0" borderId="11" xfId="28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left" vertical="center" wrapText="1"/>
    </xf>
    <xf numFmtId="177" fontId="20" fillId="0" borderId="18" xfId="28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177" fontId="21" fillId="0" borderId="12" xfId="28" applyFont="1" applyBorder="1" applyAlignment="1">
      <alignment horizontal="center" vertical="center" wrapText="1"/>
    </xf>
    <xf numFmtId="177" fontId="21" fillId="0" borderId="19" xfId="28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0" fillId="0" borderId="18" xfId="0" applyFont="1" applyBorder="1" applyAlignment="1">
      <alignment vertical="top" wrapText="1"/>
    </xf>
    <xf numFmtId="4" fontId="20" fillId="0" borderId="18" xfId="0" applyNumberFormat="1" applyFont="1" applyBorder="1" applyAlignment="1">
      <alignment vertical="top" wrapText="1"/>
    </xf>
    <xf numFmtId="177" fontId="20" fillId="0" borderId="18" xfId="28" applyFont="1" applyFill="1" applyBorder="1" applyAlignment="1">
      <alignment vertical="top" wrapText="1"/>
    </xf>
    <xf numFmtId="4" fontId="20" fillId="0" borderId="18" xfId="0" applyNumberFormat="1" applyFont="1" applyFill="1" applyBorder="1" applyAlignment="1">
      <alignment vertical="top" wrapText="1"/>
    </xf>
    <xf numFmtId="0" fontId="21" fillId="0" borderId="14" xfId="0" applyFont="1" applyBorder="1" applyAlignment="1">
      <alignment horizontal="left" vertical="top" wrapText="1"/>
    </xf>
    <xf numFmtId="3" fontId="21" fillId="0" borderId="12" xfId="0" applyNumberFormat="1" applyFont="1" applyBorder="1" applyAlignment="1">
      <alignment vertical="top" wrapText="1"/>
    </xf>
    <xf numFmtId="4" fontId="21" fillId="0" borderId="12" xfId="0" applyNumberFormat="1" applyFont="1" applyBorder="1" applyAlignment="1">
      <alignment vertical="top" wrapText="1"/>
    </xf>
    <xf numFmtId="4" fontId="21" fillId="0" borderId="19" xfId="0" applyNumberFormat="1" applyFont="1" applyBorder="1" applyAlignment="1">
      <alignment vertical="top" wrapText="1"/>
    </xf>
    <xf numFmtId="0" fontId="20" fillId="0" borderId="13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top" wrapText="1"/>
    </xf>
    <xf numFmtId="0" fontId="20" fillId="0" borderId="12" xfId="0" applyFont="1" applyBorder="1" applyAlignment="1">
      <alignment horizontal="center" vertical="center" wrapText="1"/>
    </xf>
    <xf numFmtId="3" fontId="20" fillId="0" borderId="12" xfId="0" applyNumberFormat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  <xf numFmtId="177" fontId="20" fillId="0" borderId="11" xfId="28" applyFont="1" applyBorder="1" applyAlignment="1">
      <alignment horizontal="right" vertical="center" wrapText="1"/>
    </xf>
    <xf numFmtId="177" fontId="20" fillId="0" borderId="20" xfId="28" applyFont="1" applyBorder="1" applyAlignment="1">
      <alignment horizontal="right" vertical="center" wrapText="1"/>
    </xf>
    <xf numFmtId="177" fontId="20" fillId="0" borderId="11" xfId="28" applyFont="1" applyFill="1" applyBorder="1" applyAlignment="1">
      <alignment horizontal="right" vertical="center" wrapText="1"/>
    </xf>
    <xf numFmtId="177" fontId="20" fillId="0" borderId="18" xfId="28" applyFont="1" applyBorder="1" applyAlignment="1">
      <alignment horizontal="right" vertical="center" wrapText="1"/>
    </xf>
    <xf numFmtId="177" fontId="20" fillId="0" borderId="12" xfId="28" applyFont="1" applyBorder="1" applyAlignment="1">
      <alignment horizontal="right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77" fontId="20" fillId="0" borderId="0" xfId="28" applyFont="1" applyBorder="1" applyAlignment="1">
      <alignment horizontal="right" vertical="center" wrapText="1"/>
    </xf>
    <xf numFmtId="0" fontId="0" fillId="0" borderId="0" xfId="0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177" fontId="20" fillId="0" borderId="0" xfId="0" applyNumberFormat="1" applyFont="1" applyBorder="1" applyAlignment="1">
      <alignment horizontal="center" vertical="center"/>
    </xf>
    <xf numFmtId="3" fontId="20" fillId="0" borderId="1" xfId="0" applyNumberFormat="1" applyFont="1" applyBorder="1"/>
    <xf numFmtId="4" fontId="20" fillId="0" borderId="1" xfId="0" applyNumberFormat="1" applyFont="1" applyBorder="1"/>
    <xf numFmtId="3" fontId="0" fillId="0" borderId="0" xfId="0" applyNumberFormat="1" applyFill="1" applyBorder="1"/>
    <xf numFmtId="0" fontId="0" fillId="0" borderId="0" xfId="0" applyFill="1" applyBorder="1"/>
    <xf numFmtId="3" fontId="18" fillId="0" borderId="0" xfId="0" applyNumberFormat="1" applyFont="1" applyFill="1" applyBorder="1"/>
    <xf numFmtId="0" fontId="2" fillId="34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/>
    </xf>
    <xf numFmtId="3" fontId="21" fillId="0" borderId="1" xfId="0" applyNumberFormat="1" applyFont="1" applyFill="1" applyBorder="1"/>
    <xf numFmtId="4" fontId="21" fillId="0" borderId="1" xfId="0" applyNumberFormat="1" applyFont="1" applyFill="1" applyBorder="1"/>
    <xf numFmtId="3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/>
    <xf numFmtId="3" fontId="21" fillId="0" borderId="1" xfId="0" applyNumberFormat="1" applyFont="1" applyFill="1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DCBA-9C4E-4894-9AC7-6966507C5F23}">
  <dimension ref="A1:F22"/>
  <sheetViews>
    <sheetView workbookViewId="0">
      <selection activeCell="A17" sqref="A17:A18"/>
    </sheetView>
  </sheetViews>
  <sheetFormatPr defaultRowHeight="14.4" x14ac:dyDescent="0.3"/>
  <cols>
    <col min="1" max="1" width="34.88671875" bestFit="1" customWidth="1"/>
    <col min="2" max="2" width="21" customWidth="1"/>
    <col min="3" max="3" width="24.6640625" customWidth="1"/>
    <col min="4" max="4" width="22.44140625" customWidth="1"/>
    <col min="5" max="5" width="21.5546875" customWidth="1"/>
    <col min="6" max="6" width="21.6640625" customWidth="1"/>
  </cols>
  <sheetData>
    <row r="1" spans="1:6" ht="15.6" x14ac:dyDescent="0.3">
      <c r="A1" s="70" t="s">
        <v>71</v>
      </c>
      <c r="B1" s="70"/>
      <c r="C1" s="70"/>
      <c r="D1" s="70"/>
      <c r="E1" s="70"/>
      <c r="F1" s="70"/>
    </row>
    <row r="2" spans="1:6" ht="15" thickBot="1" x14ac:dyDescent="0.35">
      <c r="A2" s="5"/>
      <c r="B2" s="5"/>
      <c r="C2" s="5"/>
      <c r="D2" s="5"/>
      <c r="E2" s="5"/>
      <c r="F2" s="5"/>
    </row>
    <row r="3" spans="1:6" ht="42" thickBot="1" x14ac:dyDescent="0.35">
      <c r="A3" s="10" t="s">
        <v>0</v>
      </c>
      <c r="B3" s="10" t="s">
        <v>72</v>
      </c>
      <c r="C3" s="10" t="s">
        <v>73</v>
      </c>
      <c r="D3" s="10" t="s">
        <v>74</v>
      </c>
      <c r="E3" s="10" t="s">
        <v>75</v>
      </c>
      <c r="F3" s="10" t="s">
        <v>76</v>
      </c>
    </row>
    <row r="4" spans="1:6" x14ac:dyDescent="0.3">
      <c r="A4" s="41" t="s">
        <v>3</v>
      </c>
      <c r="B4" s="6">
        <v>324</v>
      </c>
      <c r="C4" s="7">
        <v>19950</v>
      </c>
      <c r="D4" s="14">
        <v>6946.0181210000001</v>
      </c>
      <c r="E4" s="14">
        <v>11479.144002000001</v>
      </c>
      <c r="F4" s="14">
        <f>D4+E4</f>
        <v>18425.162123000002</v>
      </c>
    </row>
    <row r="5" spans="1:6" x14ac:dyDescent="0.3">
      <c r="A5" s="41" t="s">
        <v>15</v>
      </c>
      <c r="B5" s="6">
        <v>24</v>
      </c>
      <c r="C5" s="7">
        <v>6225</v>
      </c>
      <c r="D5" s="14">
        <v>477.924532</v>
      </c>
      <c r="E5" s="14">
        <v>15252.561797</v>
      </c>
      <c r="F5" s="14">
        <f t="shared" ref="F5:F15" si="0">D5+E5</f>
        <v>15730.486328999999</v>
      </c>
    </row>
    <row r="6" spans="1:6" x14ac:dyDescent="0.3">
      <c r="A6" s="41" t="s">
        <v>4</v>
      </c>
      <c r="B6" s="6">
        <v>166</v>
      </c>
      <c r="C6" s="7">
        <v>13268</v>
      </c>
      <c r="D6" s="14">
        <v>3562.7950209999999</v>
      </c>
      <c r="E6" s="14">
        <v>10550.167751999999</v>
      </c>
      <c r="F6" s="14">
        <f t="shared" si="0"/>
        <v>14112.962772999999</v>
      </c>
    </row>
    <row r="7" spans="1:6" x14ac:dyDescent="0.3">
      <c r="A7" s="41" t="s">
        <v>14</v>
      </c>
      <c r="B7" s="6">
        <v>15</v>
      </c>
      <c r="C7" s="6">
        <v>683</v>
      </c>
      <c r="D7" s="14">
        <v>11942.231709</v>
      </c>
      <c r="E7" s="14">
        <v>11.479357</v>
      </c>
      <c r="F7" s="14">
        <f t="shared" si="0"/>
        <v>11953.711066</v>
      </c>
    </row>
    <row r="8" spans="1:6" x14ac:dyDescent="0.3">
      <c r="A8" s="41" t="s">
        <v>6</v>
      </c>
      <c r="B8" s="6">
        <v>232</v>
      </c>
      <c r="C8" s="7">
        <v>13052</v>
      </c>
      <c r="D8" s="14">
        <v>2579.5344519999999</v>
      </c>
      <c r="E8" s="14">
        <v>4204.8024459999997</v>
      </c>
      <c r="F8" s="14">
        <f t="shared" si="0"/>
        <v>6784.3368979999996</v>
      </c>
    </row>
    <row r="9" spans="1:6" x14ac:dyDescent="0.3">
      <c r="A9" s="41" t="s">
        <v>7</v>
      </c>
      <c r="B9" s="6">
        <v>48</v>
      </c>
      <c r="C9" s="7">
        <v>5643</v>
      </c>
      <c r="D9" s="14">
        <v>2388.3286589999998</v>
      </c>
      <c r="E9" s="14">
        <v>3790.2228369999998</v>
      </c>
      <c r="F9" s="14">
        <f t="shared" si="0"/>
        <v>6178.551496</v>
      </c>
    </row>
    <row r="10" spans="1:6" x14ac:dyDescent="0.3">
      <c r="A10" s="41" t="s">
        <v>10</v>
      </c>
      <c r="B10" s="6">
        <v>30</v>
      </c>
      <c r="C10" s="7">
        <v>1930</v>
      </c>
      <c r="D10" s="14">
        <v>1034.6394889999999</v>
      </c>
      <c r="E10" s="14">
        <v>3749.8658909999999</v>
      </c>
      <c r="F10" s="14">
        <f t="shared" si="0"/>
        <v>4784.5053799999996</v>
      </c>
    </row>
    <row r="11" spans="1:6" x14ac:dyDescent="0.3">
      <c r="A11" s="11" t="s">
        <v>9</v>
      </c>
      <c r="B11" s="8">
        <v>75</v>
      </c>
      <c r="C11" s="9">
        <v>8876</v>
      </c>
      <c r="D11" s="12">
        <v>1806.56</v>
      </c>
      <c r="E11" s="12">
        <v>2256.1999999999998</v>
      </c>
      <c r="F11" s="12">
        <f>D11+E11</f>
        <v>4062.7599999999998</v>
      </c>
    </row>
    <row r="12" spans="1:6" x14ac:dyDescent="0.3">
      <c r="A12" s="41" t="s">
        <v>5</v>
      </c>
      <c r="B12" s="6">
        <v>60</v>
      </c>
      <c r="C12" s="7">
        <v>7037</v>
      </c>
      <c r="D12" s="14">
        <v>2178.3606150000001</v>
      </c>
      <c r="E12" s="14">
        <v>1148.786513</v>
      </c>
      <c r="F12" s="14">
        <f t="shared" si="0"/>
        <v>3327.1471280000001</v>
      </c>
    </row>
    <row r="13" spans="1:6" x14ac:dyDescent="0.3">
      <c r="A13" s="41" t="s">
        <v>8</v>
      </c>
      <c r="B13" s="6">
        <v>41</v>
      </c>
      <c r="C13" s="7">
        <v>1718</v>
      </c>
      <c r="D13" s="14">
        <v>683.95072900000002</v>
      </c>
      <c r="E13" s="14">
        <v>1272.1534329999999</v>
      </c>
      <c r="F13" s="14">
        <f t="shared" si="0"/>
        <v>1956.1041620000001</v>
      </c>
    </row>
    <row r="14" spans="1:6" x14ac:dyDescent="0.3">
      <c r="A14" s="41" t="s">
        <v>12</v>
      </c>
      <c r="B14" s="6">
        <v>9</v>
      </c>
      <c r="C14" s="6">
        <v>208</v>
      </c>
      <c r="D14" s="14">
        <v>94.393277999999995</v>
      </c>
      <c r="E14" s="14">
        <v>1817.0262170000001</v>
      </c>
      <c r="F14" s="14">
        <f t="shared" si="0"/>
        <v>1911.4194950000001</v>
      </c>
    </row>
    <row r="15" spans="1:6" x14ac:dyDescent="0.3">
      <c r="A15" s="41" t="s">
        <v>1</v>
      </c>
      <c r="B15" s="6">
        <v>17</v>
      </c>
      <c r="C15" s="7">
        <v>1296</v>
      </c>
      <c r="D15" s="14">
        <v>258.93594899999999</v>
      </c>
      <c r="E15" s="14">
        <v>1047.5221059999999</v>
      </c>
      <c r="F15" s="14">
        <f t="shared" si="0"/>
        <v>1306.4580549999998</v>
      </c>
    </row>
    <row r="16" spans="1:6" x14ac:dyDescent="0.3">
      <c r="A16" s="11" t="s">
        <v>13</v>
      </c>
      <c r="B16" s="8">
        <v>4</v>
      </c>
      <c r="C16" s="8">
        <v>185</v>
      </c>
      <c r="D16" s="12">
        <v>612.90099999999995</v>
      </c>
      <c r="E16" s="13">
        <v>0</v>
      </c>
      <c r="F16" s="12">
        <f>D16+E16</f>
        <v>612.90099999999995</v>
      </c>
    </row>
    <row r="17" spans="1:6" x14ac:dyDescent="0.3">
      <c r="A17" s="41" t="s">
        <v>2</v>
      </c>
      <c r="B17" s="6">
        <v>2</v>
      </c>
      <c r="C17" s="6">
        <v>80</v>
      </c>
      <c r="D17" s="14">
        <v>70.237503000000004</v>
      </c>
      <c r="E17" s="15">
        <v>0</v>
      </c>
      <c r="F17" s="16">
        <f>D17+E17</f>
        <v>70.237503000000004</v>
      </c>
    </row>
    <row r="18" spans="1:6" ht="15" thickBot="1" x14ac:dyDescent="0.35">
      <c r="A18" s="42" t="s">
        <v>11</v>
      </c>
      <c r="B18" s="33">
        <v>2</v>
      </c>
      <c r="C18" s="33">
        <v>39</v>
      </c>
      <c r="D18" s="34">
        <v>43.853999999999999</v>
      </c>
      <c r="E18" s="35">
        <v>0</v>
      </c>
      <c r="F18" s="36">
        <f>D18+E18</f>
        <v>43.853999999999999</v>
      </c>
    </row>
    <row r="19" spans="1:6" ht="15" thickBot="1" x14ac:dyDescent="0.35">
      <c r="A19" s="37" t="s">
        <v>16</v>
      </c>
      <c r="B19" s="38">
        <v>1049</v>
      </c>
      <c r="C19" s="38">
        <v>80190</v>
      </c>
      <c r="D19" s="39">
        <f>SUM(D4:D18)</f>
        <v>34680.665056999991</v>
      </c>
      <c r="E19" s="39">
        <f>SUM(E4:E18)</f>
        <v>56579.932350999996</v>
      </c>
      <c r="F19" s="40">
        <f>SUM(F4:F18)</f>
        <v>91260.597407999987</v>
      </c>
    </row>
    <row r="20" spans="1:6" x14ac:dyDescent="0.3">
      <c r="A20" s="5"/>
      <c r="B20" s="5"/>
      <c r="C20" s="5"/>
      <c r="D20" s="5"/>
      <c r="E20" s="5"/>
      <c r="F20" s="5"/>
    </row>
    <row r="21" spans="1:6" x14ac:dyDescent="0.3">
      <c r="A21" s="5"/>
      <c r="B21" s="5"/>
      <c r="C21" s="5"/>
      <c r="D21" s="5"/>
      <c r="E21" s="5"/>
      <c r="F21" s="5"/>
    </row>
    <row r="22" spans="1:6" x14ac:dyDescent="0.3">
      <c r="A22" s="5"/>
      <c r="B22" s="5"/>
      <c r="C22" s="5"/>
      <c r="D22" s="5"/>
      <c r="E22" s="5"/>
      <c r="F22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D373E-6B75-444A-8CB9-7279E8AEF7CA}">
  <dimension ref="A1:G28"/>
  <sheetViews>
    <sheetView topLeftCell="A5" workbookViewId="0">
      <selection activeCell="D22" sqref="D22:G26"/>
    </sheetView>
  </sheetViews>
  <sheetFormatPr defaultColWidth="8.6640625" defaultRowHeight="14.4" x14ac:dyDescent="0.3"/>
  <cols>
    <col min="1" max="1" width="29.44140625" style="1" customWidth="1"/>
    <col min="2" max="2" width="15.44140625" style="1" customWidth="1"/>
    <col min="3" max="3" width="14.5546875" style="1" customWidth="1"/>
    <col min="4" max="7" width="19.44140625" style="1" customWidth="1"/>
    <col min="8" max="16384" width="8.6640625" style="1"/>
  </cols>
  <sheetData>
    <row r="1" spans="1:6" ht="15.6" x14ac:dyDescent="0.3">
      <c r="A1" s="70" t="s">
        <v>77</v>
      </c>
      <c r="B1" s="70"/>
      <c r="C1" s="70"/>
      <c r="D1" s="70"/>
      <c r="E1" s="70"/>
      <c r="F1" s="70"/>
    </row>
    <row r="2" spans="1:6" ht="15" thickBot="1" x14ac:dyDescent="0.35">
      <c r="A2" s="71"/>
      <c r="B2" s="71"/>
      <c r="C2" s="71"/>
      <c r="D2" s="71"/>
      <c r="E2" s="71"/>
      <c r="F2" s="71"/>
    </row>
    <row r="3" spans="1:6" ht="42" thickBot="1" x14ac:dyDescent="0.35">
      <c r="A3" s="18" t="s">
        <v>17</v>
      </c>
      <c r="B3" s="10" t="s">
        <v>72</v>
      </c>
      <c r="C3" s="10" t="s">
        <v>73</v>
      </c>
      <c r="D3" s="10" t="s">
        <v>74</v>
      </c>
      <c r="E3" s="10" t="s">
        <v>75</v>
      </c>
      <c r="F3" s="10" t="s">
        <v>76</v>
      </c>
    </row>
    <row r="4" spans="1:6" x14ac:dyDescent="0.3">
      <c r="A4" s="22" t="s">
        <v>22</v>
      </c>
      <c r="B4" s="2">
        <v>7</v>
      </c>
      <c r="C4" s="3">
        <v>1435</v>
      </c>
      <c r="D4" s="46">
        <v>0</v>
      </c>
      <c r="E4" s="46">
        <v>1393.0655999999999</v>
      </c>
      <c r="F4" s="47">
        <f>D4+E4</f>
        <v>1393.0655999999999</v>
      </c>
    </row>
    <row r="5" spans="1:6" x14ac:dyDescent="0.3">
      <c r="A5" s="22" t="s">
        <v>24</v>
      </c>
      <c r="B5" s="2">
        <v>2</v>
      </c>
      <c r="C5" s="3">
        <v>3600</v>
      </c>
      <c r="D5" s="46">
        <v>823.5</v>
      </c>
      <c r="E5" s="46">
        <v>0</v>
      </c>
      <c r="F5" s="47">
        <f t="shared" ref="F5:F19" si="0">D5+E5</f>
        <v>823.5</v>
      </c>
    </row>
    <row r="6" spans="1:6" x14ac:dyDescent="0.3">
      <c r="A6" s="22" t="s">
        <v>30</v>
      </c>
      <c r="B6" s="2">
        <v>12</v>
      </c>
      <c r="C6" s="3">
        <v>1451</v>
      </c>
      <c r="D6" s="46">
        <v>389.72152799999998</v>
      </c>
      <c r="E6" s="46">
        <v>293.41858999999999</v>
      </c>
      <c r="F6" s="47">
        <f t="shared" si="0"/>
        <v>683.14011800000003</v>
      </c>
    </row>
    <row r="7" spans="1:6" x14ac:dyDescent="0.3">
      <c r="A7" s="22" t="s">
        <v>18</v>
      </c>
      <c r="B7" s="2">
        <v>9</v>
      </c>
      <c r="C7" s="2">
        <v>660</v>
      </c>
      <c r="D7" s="46">
        <v>271.999256</v>
      </c>
      <c r="E7" s="46">
        <v>0.1183</v>
      </c>
      <c r="F7" s="47">
        <f t="shared" si="0"/>
        <v>272.11755599999998</v>
      </c>
    </row>
    <row r="8" spans="1:6" x14ac:dyDescent="0.3">
      <c r="A8" s="22" t="s">
        <v>27</v>
      </c>
      <c r="B8" s="2">
        <v>2</v>
      </c>
      <c r="C8" s="2">
        <v>116</v>
      </c>
      <c r="D8" s="46">
        <v>7</v>
      </c>
      <c r="E8" s="46">
        <v>249.565439</v>
      </c>
      <c r="F8" s="47">
        <f t="shared" si="0"/>
        <v>256.56543899999997</v>
      </c>
    </row>
    <row r="9" spans="1:6" x14ac:dyDescent="0.3">
      <c r="A9" s="22" t="s">
        <v>20</v>
      </c>
      <c r="B9" s="2">
        <v>3</v>
      </c>
      <c r="C9" s="2">
        <v>705</v>
      </c>
      <c r="D9" s="46">
        <v>3.969052</v>
      </c>
      <c r="E9" s="46">
        <v>248.08332999999999</v>
      </c>
      <c r="F9" s="47">
        <f t="shared" si="0"/>
        <v>252.05238199999999</v>
      </c>
    </row>
    <row r="10" spans="1:6" x14ac:dyDescent="0.3">
      <c r="A10" s="22" t="s">
        <v>28</v>
      </c>
      <c r="B10" s="2">
        <v>10</v>
      </c>
      <c r="C10" s="2">
        <v>352</v>
      </c>
      <c r="D10" s="46">
        <v>114.720478</v>
      </c>
      <c r="E10" s="46">
        <v>0</v>
      </c>
      <c r="F10" s="47">
        <f t="shared" si="0"/>
        <v>114.720478</v>
      </c>
    </row>
    <row r="11" spans="1:6" x14ac:dyDescent="0.3">
      <c r="A11" s="22" t="s">
        <v>31</v>
      </c>
      <c r="B11" s="2">
        <v>9</v>
      </c>
      <c r="C11" s="2">
        <v>136</v>
      </c>
      <c r="D11" s="46">
        <v>62.161377999999999</v>
      </c>
      <c r="E11" s="46">
        <v>21.714162000000002</v>
      </c>
      <c r="F11" s="47">
        <f t="shared" si="0"/>
        <v>83.875540000000001</v>
      </c>
    </row>
    <row r="12" spans="1:6" ht="27.6" x14ac:dyDescent="0.3">
      <c r="A12" s="22" t="s">
        <v>23</v>
      </c>
      <c r="B12" s="2">
        <v>4</v>
      </c>
      <c r="C12" s="2">
        <v>194</v>
      </c>
      <c r="D12" s="46">
        <v>51.81</v>
      </c>
      <c r="E12" s="46">
        <v>13.94</v>
      </c>
      <c r="F12" s="47">
        <f t="shared" si="0"/>
        <v>65.75</v>
      </c>
    </row>
    <row r="13" spans="1:6" ht="27.6" x14ac:dyDescent="0.3">
      <c r="A13" s="22" t="s">
        <v>32</v>
      </c>
      <c r="B13" s="2">
        <v>4</v>
      </c>
      <c r="C13" s="2">
        <v>40</v>
      </c>
      <c r="D13" s="46">
        <v>41.536467000000002</v>
      </c>
      <c r="E13" s="46">
        <v>7.7839999999999998</v>
      </c>
      <c r="F13" s="47">
        <f t="shared" si="0"/>
        <v>49.320467000000001</v>
      </c>
    </row>
    <row r="14" spans="1:6" x14ac:dyDescent="0.3">
      <c r="A14" s="22" t="s">
        <v>26</v>
      </c>
      <c r="B14" s="2">
        <v>1</v>
      </c>
      <c r="C14" s="2">
        <v>12</v>
      </c>
      <c r="D14" s="46">
        <v>0</v>
      </c>
      <c r="E14" s="46">
        <v>18.143999999999998</v>
      </c>
      <c r="F14" s="47">
        <f t="shared" si="0"/>
        <v>18.143999999999998</v>
      </c>
    </row>
    <row r="15" spans="1:6" x14ac:dyDescent="0.3">
      <c r="A15" s="24" t="s">
        <v>21</v>
      </c>
      <c r="B15" s="4">
        <v>2</v>
      </c>
      <c r="C15" s="4">
        <v>61</v>
      </c>
      <c r="D15" s="48">
        <v>14.037056</v>
      </c>
      <c r="E15" s="48">
        <v>0.37</v>
      </c>
      <c r="F15" s="47">
        <v>14.42</v>
      </c>
    </row>
    <row r="16" spans="1:6" x14ac:dyDescent="0.3">
      <c r="A16" s="22" t="s">
        <v>29</v>
      </c>
      <c r="B16" s="2">
        <v>7</v>
      </c>
      <c r="C16" s="2">
        <v>62</v>
      </c>
      <c r="D16" s="46">
        <v>12.010301</v>
      </c>
      <c r="E16" s="46">
        <v>0</v>
      </c>
      <c r="F16" s="47">
        <f t="shared" si="0"/>
        <v>12.010301</v>
      </c>
    </row>
    <row r="17" spans="1:7" x14ac:dyDescent="0.3">
      <c r="A17" s="22" t="s">
        <v>33</v>
      </c>
      <c r="B17" s="2">
        <v>1</v>
      </c>
      <c r="C17" s="2">
        <v>5</v>
      </c>
      <c r="D17" s="46">
        <v>0</v>
      </c>
      <c r="E17" s="46">
        <v>10</v>
      </c>
      <c r="F17" s="47">
        <f t="shared" si="0"/>
        <v>10</v>
      </c>
    </row>
    <row r="18" spans="1:7" x14ac:dyDescent="0.3">
      <c r="A18" s="22" t="s">
        <v>25</v>
      </c>
      <c r="B18" s="2">
        <v>1</v>
      </c>
      <c r="C18" s="2">
        <v>9</v>
      </c>
      <c r="D18" s="46">
        <v>7.0958439999999996</v>
      </c>
      <c r="E18" s="46">
        <v>0</v>
      </c>
      <c r="F18" s="47">
        <f t="shared" si="0"/>
        <v>7.0958439999999996</v>
      </c>
    </row>
    <row r="19" spans="1:7" ht="15" thickBot="1" x14ac:dyDescent="0.35">
      <c r="A19" s="26" t="s">
        <v>19</v>
      </c>
      <c r="B19" s="31">
        <v>1</v>
      </c>
      <c r="C19" s="31">
        <v>38</v>
      </c>
      <c r="D19" s="49">
        <v>7</v>
      </c>
      <c r="E19" s="46">
        <v>0</v>
      </c>
      <c r="F19" s="47">
        <f t="shared" si="0"/>
        <v>7</v>
      </c>
    </row>
    <row r="20" spans="1:7" ht="15" thickBot="1" x14ac:dyDescent="0.35">
      <c r="A20" s="45" t="s">
        <v>34</v>
      </c>
      <c r="B20" s="43">
        <v>75</v>
      </c>
      <c r="C20" s="44">
        <f>SUM(C4:C19)</f>
        <v>8876</v>
      </c>
      <c r="D20" s="50">
        <f>SUM(D4:D19)</f>
        <v>1806.5613599999997</v>
      </c>
      <c r="E20" s="50">
        <f>SUM(E4:E19)</f>
        <v>2256.2034210000002</v>
      </c>
      <c r="F20" s="50">
        <f>D20+E20</f>
        <v>4062.7647809999999</v>
      </c>
    </row>
    <row r="21" spans="1:7" x14ac:dyDescent="0.3">
      <c r="A21" s="17"/>
      <c r="B21" s="17"/>
      <c r="C21" s="17"/>
      <c r="D21" s="17"/>
      <c r="E21" s="17"/>
      <c r="F21" s="17"/>
    </row>
    <row r="22" spans="1:7" x14ac:dyDescent="0.3">
      <c r="A22" s="17"/>
      <c r="B22" s="17"/>
      <c r="C22" s="17"/>
      <c r="D22" s="53"/>
      <c r="E22" s="53"/>
      <c r="F22" s="53"/>
      <c r="G22" s="54"/>
    </row>
    <row r="23" spans="1:7" x14ac:dyDescent="0.3">
      <c r="A23" s="17"/>
      <c r="B23" s="17"/>
      <c r="C23" s="17"/>
      <c r="D23" s="55"/>
      <c r="E23" s="55"/>
      <c r="F23" s="55"/>
      <c r="G23" s="54"/>
    </row>
    <row r="24" spans="1:7" x14ac:dyDescent="0.3">
      <c r="A24" s="17"/>
      <c r="B24" s="17"/>
      <c r="C24" s="17"/>
      <c r="D24" s="55"/>
      <c r="E24" s="56"/>
      <c r="F24" s="55"/>
      <c r="G24" s="54"/>
    </row>
    <row r="25" spans="1:7" x14ac:dyDescent="0.3">
      <c r="A25" s="17"/>
      <c r="B25" s="17"/>
      <c r="C25" s="17"/>
      <c r="D25" s="55"/>
      <c r="E25" s="57"/>
      <c r="F25" s="55"/>
      <c r="G25" s="54"/>
    </row>
    <row r="26" spans="1:7" x14ac:dyDescent="0.3">
      <c r="A26" s="17"/>
      <c r="B26" s="17"/>
      <c r="C26" s="17"/>
      <c r="D26" s="55"/>
      <c r="E26" s="55"/>
      <c r="F26" s="55"/>
      <c r="G26" s="54"/>
    </row>
    <row r="27" spans="1:7" x14ac:dyDescent="0.3">
      <c r="A27" s="17"/>
      <c r="B27" s="17"/>
      <c r="C27" s="17"/>
      <c r="D27" s="17"/>
      <c r="E27" s="17"/>
      <c r="F27" s="17"/>
    </row>
    <row r="28" spans="1:7" x14ac:dyDescent="0.3">
      <c r="A28" s="17"/>
      <c r="B28" s="17"/>
      <c r="C28" s="17"/>
      <c r="D28" s="17"/>
      <c r="E28" s="17"/>
      <c r="F28" s="17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AB8D-8078-4F63-B525-95E03BBC31D5}">
  <dimension ref="A1:F26"/>
  <sheetViews>
    <sheetView workbookViewId="0">
      <selection sqref="A1:F1"/>
    </sheetView>
  </sheetViews>
  <sheetFormatPr defaultColWidth="8.6640625" defaultRowHeight="14.4" x14ac:dyDescent="0.3"/>
  <cols>
    <col min="1" max="1" width="29.44140625" style="1" customWidth="1"/>
    <col min="2" max="2" width="12.6640625" style="1" customWidth="1"/>
    <col min="3" max="3" width="24.5546875" style="1" customWidth="1"/>
    <col min="4" max="4" width="23.5546875" style="1" customWidth="1"/>
    <col min="5" max="5" width="25" style="1" customWidth="1"/>
    <col min="6" max="6" width="36.88671875" style="1" customWidth="1"/>
    <col min="7" max="8" width="19.44140625" style="1" customWidth="1"/>
    <col min="9" max="16384" width="8.6640625" style="1"/>
  </cols>
  <sheetData>
    <row r="1" spans="1:6" ht="15.6" x14ac:dyDescent="0.3">
      <c r="A1" s="70" t="s">
        <v>70</v>
      </c>
      <c r="B1" s="70"/>
      <c r="C1" s="70"/>
      <c r="D1" s="70"/>
      <c r="E1" s="70"/>
      <c r="F1" s="70"/>
    </row>
    <row r="2" spans="1:6" x14ac:dyDescent="0.3">
      <c r="A2" s="17"/>
      <c r="B2" s="17"/>
      <c r="C2" s="17"/>
      <c r="D2" s="17"/>
      <c r="E2" s="17"/>
      <c r="F2" s="17"/>
    </row>
    <row r="3" spans="1:6" ht="15" thickBot="1" x14ac:dyDescent="0.35">
      <c r="A3" s="72"/>
      <c r="B3" s="72"/>
      <c r="C3" s="72"/>
      <c r="D3" s="72"/>
      <c r="E3" s="72"/>
      <c r="F3" s="72"/>
    </row>
    <row r="4" spans="1:6" ht="41.25" customHeight="1" thickBot="1" x14ac:dyDescent="0.35">
      <c r="A4" s="18" t="s">
        <v>35</v>
      </c>
      <c r="B4" s="10" t="s">
        <v>72</v>
      </c>
      <c r="C4" s="10" t="s">
        <v>73</v>
      </c>
      <c r="D4" s="10" t="s">
        <v>74</v>
      </c>
      <c r="E4" s="10" t="s">
        <v>75</v>
      </c>
      <c r="F4" s="10" t="s">
        <v>76</v>
      </c>
    </row>
    <row r="5" spans="1:6" x14ac:dyDescent="0.3">
      <c r="A5" s="19" t="s">
        <v>46</v>
      </c>
      <c r="B5" s="2">
        <v>2</v>
      </c>
      <c r="C5" s="51">
        <v>1418</v>
      </c>
      <c r="D5" s="20">
        <v>0</v>
      </c>
      <c r="E5" s="20">
        <v>1254.2349999999999</v>
      </c>
      <c r="F5" s="21">
        <f>D5+E5</f>
        <v>1254.2349999999999</v>
      </c>
    </row>
    <row r="6" spans="1:6" x14ac:dyDescent="0.3">
      <c r="A6" s="22" t="s">
        <v>47</v>
      </c>
      <c r="B6" s="2">
        <v>4</v>
      </c>
      <c r="C6" s="51">
        <v>4094</v>
      </c>
      <c r="D6" s="23">
        <v>1014.72</v>
      </c>
      <c r="E6" s="23">
        <v>0</v>
      </c>
      <c r="F6" s="23">
        <f t="shared" ref="F6:F25" si="0">D6+E6</f>
        <v>1014.72</v>
      </c>
    </row>
    <row r="7" spans="1:6" x14ac:dyDescent="0.3">
      <c r="A7" s="22" t="s">
        <v>50</v>
      </c>
      <c r="B7" s="2">
        <v>6</v>
      </c>
      <c r="C7" s="52">
        <v>214</v>
      </c>
      <c r="D7" s="23">
        <v>114.271</v>
      </c>
      <c r="E7" s="23">
        <v>256.23899999999998</v>
      </c>
      <c r="F7" s="23">
        <f t="shared" si="0"/>
        <v>370.51</v>
      </c>
    </row>
    <row r="8" spans="1:6" x14ac:dyDescent="0.3">
      <c r="A8" s="22" t="s">
        <v>52</v>
      </c>
      <c r="B8" s="2">
        <v>2</v>
      </c>
      <c r="C8" s="52">
        <v>116</v>
      </c>
      <c r="D8" s="23">
        <v>282.101</v>
      </c>
      <c r="E8" s="23">
        <v>18.143999999999998</v>
      </c>
      <c r="F8" s="23">
        <f t="shared" si="0"/>
        <v>300.245</v>
      </c>
    </row>
    <row r="9" spans="1:6" x14ac:dyDescent="0.3">
      <c r="A9" s="22" t="s">
        <v>41</v>
      </c>
      <c r="B9" s="2">
        <v>5</v>
      </c>
      <c r="C9" s="52">
        <v>566</v>
      </c>
      <c r="D9" s="23">
        <v>40</v>
      </c>
      <c r="E9" s="23">
        <v>178.2</v>
      </c>
      <c r="F9" s="23">
        <f t="shared" si="0"/>
        <v>218.2</v>
      </c>
    </row>
    <row r="10" spans="1:6" x14ac:dyDescent="0.3">
      <c r="A10" s="22" t="s">
        <v>40</v>
      </c>
      <c r="B10" s="2">
        <v>3</v>
      </c>
      <c r="C10" s="52">
        <v>332</v>
      </c>
      <c r="D10" s="23">
        <v>1.5169999999999999</v>
      </c>
      <c r="E10" s="23">
        <v>196.59899999999999</v>
      </c>
      <c r="F10" s="23">
        <f t="shared" si="0"/>
        <v>198.11599999999999</v>
      </c>
    </row>
    <row r="11" spans="1:6" x14ac:dyDescent="0.3">
      <c r="A11" s="22" t="s">
        <v>39</v>
      </c>
      <c r="B11" s="2">
        <v>7</v>
      </c>
      <c r="C11" s="52">
        <v>349</v>
      </c>
      <c r="D11" s="23">
        <v>63.753</v>
      </c>
      <c r="E11" s="23">
        <v>128.60499999999999</v>
      </c>
      <c r="F11" s="23">
        <f t="shared" si="0"/>
        <v>192.358</v>
      </c>
    </row>
    <row r="12" spans="1:6" x14ac:dyDescent="0.3">
      <c r="A12" s="22" t="s">
        <v>38</v>
      </c>
      <c r="B12" s="2">
        <v>11</v>
      </c>
      <c r="C12" s="52">
        <v>539</v>
      </c>
      <c r="D12" s="23">
        <v>97.78</v>
      </c>
      <c r="E12" s="23">
        <v>17.649999999999999</v>
      </c>
      <c r="F12" s="23">
        <f t="shared" si="0"/>
        <v>115.43</v>
      </c>
    </row>
    <row r="13" spans="1:6" x14ac:dyDescent="0.3">
      <c r="A13" s="22" t="s">
        <v>44</v>
      </c>
      <c r="B13" s="2">
        <v>6</v>
      </c>
      <c r="C13" s="52">
        <v>398</v>
      </c>
      <c r="D13" s="23">
        <v>16.378</v>
      </c>
      <c r="E13" s="23">
        <v>76.36</v>
      </c>
      <c r="F13" s="23">
        <f t="shared" si="0"/>
        <v>92.738</v>
      </c>
    </row>
    <row r="14" spans="1:6" x14ac:dyDescent="0.3">
      <c r="A14" s="22" t="s">
        <v>51</v>
      </c>
      <c r="B14" s="2">
        <v>2</v>
      </c>
      <c r="C14" s="52">
        <v>177</v>
      </c>
      <c r="D14" s="23">
        <v>6.58</v>
      </c>
      <c r="E14" s="23">
        <v>48.732999999999997</v>
      </c>
      <c r="F14" s="23">
        <f t="shared" si="0"/>
        <v>55.312999999999995</v>
      </c>
    </row>
    <row r="15" spans="1:6" x14ac:dyDescent="0.3">
      <c r="A15" s="22" t="s">
        <v>54</v>
      </c>
      <c r="B15" s="2">
        <v>4</v>
      </c>
      <c r="C15" s="52">
        <v>163</v>
      </c>
      <c r="D15" s="23">
        <v>46.29</v>
      </c>
      <c r="E15" s="23">
        <v>0</v>
      </c>
      <c r="F15" s="23">
        <f t="shared" si="0"/>
        <v>46.29</v>
      </c>
    </row>
    <row r="16" spans="1:6" x14ac:dyDescent="0.3">
      <c r="A16" s="22" t="s">
        <v>49</v>
      </c>
      <c r="B16" s="2">
        <v>3</v>
      </c>
      <c r="C16" s="52">
        <v>51</v>
      </c>
      <c r="D16" s="23">
        <v>0.45</v>
      </c>
      <c r="E16" s="23">
        <v>43.320500000000003</v>
      </c>
      <c r="F16" s="23">
        <f t="shared" si="0"/>
        <v>43.770500000000006</v>
      </c>
    </row>
    <row r="17" spans="1:6" x14ac:dyDescent="0.3">
      <c r="A17" s="22" t="s">
        <v>53</v>
      </c>
      <c r="B17" s="2">
        <v>2</v>
      </c>
      <c r="C17" s="52">
        <v>40</v>
      </c>
      <c r="D17" s="23">
        <v>35.237000000000002</v>
      </c>
      <c r="E17" s="23">
        <v>0</v>
      </c>
      <c r="F17" s="23">
        <f t="shared" si="0"/>
        <v>35.237000000000002</v>
      </c>
    </row>
    <row r="18" spans="1:6" x14ac:dyDescent="0.3">
      <c r="A18" s="24" t="s">
        <v>36</v>
      </c>
      <c r="B18" s="4">
        <v>1</v>
      </c>
      <c r="C18" s="52">
        <v>143</v>
      </c>
      <c r="D18" s="25">
        <v>27</v>
      </c>
      <c r="E18" s="25">
        <v>0</v>
      </c>
      <c r="F18" s="23">
        <f t="shared" si="0"/>
        <v>27</v>
      </c>
    </row>
    <row r="19" spans="1:6" x14ac:dyDescent="0.3">
      <c r="A19" s="22" t="s">
        <v>42</v>
      </c>
      <c r="B19" s="2">
        <v>1</v>
      </c>
      <c r="C19" s="52">
        <v>36</v>
      </c>
      <c r="D19" s="23">
        <v>0</v>
      </c>
      <c r="E19" s="23">
        <v>23.1</v>
      </c>
      <c r="F19" s="23">
        <f t="shared" si="0"/>
        <v>23.1</v>
      </c>
    </row>
    <row r="20" spans="1:6" x14ac:dyDescent="0.3">
      <c r="A20" s="22" t="s">
        <v>48</v>
      </c>
      <c r="B20" s="2">
        <v>5</v>
      </c>
      <c r="C20" s="52">
        <v>104</v>
      </c>
      <c r="D20" s="23">
        <v>23.07</v>
      </c>
      <c r="E20" s="23">
        <v>0</v>
      </c>
      <c r="F20" s="23">
        <f t="shared" si="0"/>
        <v>23.07</v>
      </c>
    </row>
    <row r="21" spans="1:6" x14ac:dyDescent="0.3">
      <c r="A21" s="22" t="s">
        <v>37</v>
      </c>
      <c r="B21" s="2">
        <v>2</v>
      </c>
      <c r="C21" s="52">
        <v>80</v>
      </c>
      <c r="D21" s="23">
        <v>20.149000000000001</v>
      </c>
      <c r="E21" s="23">
        <v>0</v>
      </c>
      <c r="F21" s="23">
        <f t="shared" si="0"/>
        <v>20.149000000000001</v>
      </c>
    </row>
    <row r="22" spans="1:6" x14ac:dyDescent="0.3">
      <c r="A22" s="22" t="s">
        <v>56</v>
      </c>
      <c r="B22" s="2">
        <v>6</v>
      </c>
      <c r="C22" s="52">
        <v>56</v>
      </c>
      <c r="D22" s="23">
        <v>16.670000000000002</v>
      </c>
      <c r="E22" s="23">
        <v>0</v>
      </c>
      <c r="F22" s="23">
        <f t="shared" si="0"/>
        <v>16.670000000000002</v>
      </c>
    </row>
    <row r="23" spans="1:6" x14ac:dyDescent="0.3">
      <c r="A23" s="22" t="s">
        <v>43</v>
      </c>
      <c r="B23" s="2">
        <v>1</v>
      </c>
      <c r="C23" s="52">
        <v>0</v>
      </c>
      <c r="D23" s="23">
        <v>0</v>
      </c>
      <c r="E23" s="23">
        <v>15</v>
      </c>
      <c r="F23" s="23">
        <f t="shared" si="0"/>
        <v>15</v>
      </c>
    </row>
    <row r="24" spans="1:6" x14ac:dyDescent="0.3">
      <c r="A24" s="22" t="s">
        <v>55</v>
      </c>
      <c r="B24" s="2">
        <v>1</v>
      </c>
      <c r="C24" s="52">
        <v>0</v>
      </c>
      <c r="D24" s="23">
        <v>0.47699999999999998</v>
      </c>
      <c r="E24" s="23">
        <v>0</v>
      </c>
      <c r="F24" s="23">
        <f t="shared" si="0"/>
        <v>0.47699999999999998</v>
      </c>
    </row>
    <row r="25" spans="1:6" ht="15" thickBot="1" x14ac:dyDescent="0.35">
      <c r="A25" s="26" t="s">
        <v>45</v>
      </c>
      <c r="B25" s="31">
        <v>1</v>
      </c>
      <c r="C25" s="52">
        <v>0</v>
      </c>
      <c r="D25" s="27">
        <v>0.11799999999999999</v>
      </c>
      <c r="E25" s="27">
        <v>1.18E-2</v>
      </c>
      <c r="F25" s="27">
        <f t="shared" si="0"/>
        <v>0.1298</v>
      </c>
    </row>
    <row r="26" spans="1:6" ht="15" thickBot="1" x14ac:dyDescent="0.35">
      <c r="A26" s="28" t="s">
        <v>34</v>
      </c>
      <c r="B26" s="32">
        <f>SUM(B5:B25)</f>
        <v>75</v>
      </c>
      <c r="C26" s="32">
        <f>SUM(C5:C25)</f>
        <v>8876</v>
      </c>
      <c r="D26" s="29">
        <f>SUM(D5:D25)</f>
        <v>1806.5609999999999</v>
      </c>
      <c r="E26" s="29">
        <f>SUM(E5:E25)</f>
        <v>2256.1973000000003</v>
      </c>
      <c r="F26" s="30">
        <f>SUM(F5:F25)</f>
        <v>4062.7583</v>
      </c>
    </row>
  </sheetData>
  <mergeCells count="2">
    <mergeCell ref="A1:F1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4935-FCC7-4731-B532-F2FA11ED5F0A}">
  <dimension ref="A1:G16"/>
  <sheetViews>
    <sheetView tabSelected="1" workbookViewId="0">
      <selection activeCell="A17" sqref="A17"/>
    </sheetView>
  </sheetViews>
  <sheetFormatPr defaultRowHeight="14.4" x14ac:dyDescent="0.3"/>
  <cols>
    <col min="1" max="1" width="16.88671875" customWidth="1"/>
    <col min="2" max="2" width="24.44140625" customWidth="1"/>
    <col min="3" max="3" width="36.33203125" customWidth="1"/>
    <col min="4" max="4" width="48.33203125" customWidth="1"/>
    <col min="6" max="6" width="19.6640625" customWidth="1"/>
  </cols>
  <sheetData>
    <row r="1" spans="1:7" ht="14.4" customHeight="1" x14ac:dyDescent="0.3">
      <c r="A1" s="70" t="s">
        <v>80</v>
      </c>
      <c r="B1" s="70"/>
      <c r="C1" s="70"/>
      <c r="D1" s="70"/>
      <c r="E1" s="70"/>
      <c r="F1" s="70"/>
    </row>
    <row r="4" spans="1:7" ht="18" customHeight="1" x14ac:dyDescent="0.3">
      <c r="A4" s="63" t="s">
        <v>68</v>
      </c>
      <c r="B4" s="63" t="s">
        <v>79</v>
      </c>
      <c r="C4" s="63" t="s">
        <v>69</v>
      </c>
      <c r="D4" s="63" t="s">
        <v>78</v>
      </c>
    </row>
    <row r="5" spans="1:7" x14ac:dyDescent="0.3">
      <c r="A5" s="68" t="s">
        <v>57</v>
      </c>
      <c r="B5" s="67">
        <v>5</v>
      </c>
      <c r="C5" s="58">
        <v>1742</v>
      </c>
      <c r="D5" s="59">
        <v>1560.494369</v>
      </c>
      <c r="F5" s="60"/>
      <c r="G5" s="61"/>
    </row>
    <row r="6" spans="1:7" x14ac:dyDescent="0.3">
      <c r="A6" s="68" t="s">
        <v>58</v>
      </c>
      <c r="B6" s="67">
        <v>1</v>
      </c>
      <c r="C6" s="58">
        <v>103</v>
      </c>
      <c r="D6" s="59">
        <v>22.138000000000002</v>
      </c>
      <c r="F6" s="60"/>
      <c r="G6" s="61"/>
    </row>
    <row r="7" spans="1:7" x14ac:dyDescent="0.3">
      <c r="A7" s="68" t="s">
        <v>59</v>
      </c>
      <c r="B7" s="67">
        <v>4</v>
      </c>
      <c r="C7" s="58">
        <v>594</v>
      </c>
      <c r="D7" s="59">
        <v>301.16000000000003</v>
      </c>
      <c r="F7" s="60"/>
      <c r="G7" s="61"/>
    </row>
    <row r="8" spans="1:7" x14ac:dyDescent="0.3">
      <c r="A8" s="68" t="s">
        <v>60</v>
      </c>
      <c r="B8" s="67">
        <v>1</v>
      </c>
      <c r="C8" s="58">
        <v>0</v>
      </c>
      <c r="D8" s="59">
        <v>0</v>
      </c>
      <c r="F8" s="60"/>
      <c r="G8" s="61"/>
    </row>
    <row r="9" spans="1:7" x14ac:dyDescent="0.3">
      <c r="A9" s="68" t="s">
        <v>61</v>
      </c>
      <c r="B9" s="67">
        <v>5</v>
      </c>
      <c r="C9" s="58">
        <v>37</v>
      </c>
      <c r="D9" s="59">
        <v>25.483000000000001</v>
      </c>
      <c r="F9" s="60"/>
      <c r="G9" s="61"/>
    </row>
    <row r="10" spans="1:7" x14ac:dyDescent="0.3">
      <c r="A10" s="68" t="s">
        <v>62</v>
      </c>
      <c r="B10" s="67">
        <v>1</v>
      </c>
      <c r="C10" s="58">
        <v>34</v>
      </c>
      <c r="D10" s="59">
        <v>6.1369999999999996</v>
      </c>
      <c r="F10" s="60"/>
      <c r="G10" s="61"/>
    </row>
    <row r="11" spans="1:7" x14ac:dyDescent="0.3">
      <c r="A11" s="68" t="s">
        <v>63</v>
      </c>
      <c r="B11" s="67">
        <v>6</v>
      </c>
      <c r="C11" s="58">
        <v>22</v>
      </c>
      <c r="D11" s="59">
        <v>8.3719999999999999</v>
      </c>
      <c r="F11" s="60"/>
      <c r="G11" s="61"/>
    </row>
    <row r="12" spans="1:7" x14ac:dyDescent="0.3">
      <c r="A12" s="68" t="s">
        <v>64</v>
      </c>
      <c r="B12" s="67">
        <v>1</v>
      </c>
      <c r="C12" s="58">
        <v>281</v>
      </c>
      <c r="D12" s="59">
        <v>60</v>
      </c>
      <c r="F12" s="60"/>
      <c r="G12" s="61"/>
    </row>
    <row r="13" spans="1:7" x14ac:dyDescent="0.3">
      <c r="A13" s="68" t="s">
        <v>65</v>
      </c>
      <c r="B13" s="67">
        <v>3</v>
      </c>
      <c r="C13" s="58">
        <v>152</v>
      </c>
      <c r="D13" s="59">
        <v>58.14</v>
      </c>
      <c r="F13" s="60"/>
      <c r="G13" s="61"/>
    </row>
    <row r="14" spans="1:7" x14ac:dyDescent="0.3">
      <c r="A14" s="68" t="s">
        <v>66</v>
      </c>
      <c r="B14" s="67">
        <v>1</v>
      </c>
      <c r="C14" s="58">
        <v>12</v>
      </c>
      <c r="D14" s="59">
        <v>9.2530000000000001</v>
      </c>
      <c r="F14" s="60"/>
      <c r="G14" s="61"/>
    </row>
    <row r="15" spans="1:7" x14ac:dyDescent="0.3">
      <c r="A15" s="68" t="s">
        <v>67</v>
      </c>
      <c r="B15" s="67">
        <v>4</v>
      </c>
      <c r="C15" s="58">
        <v>552</v>
      </c>
      <c r="D15" s="59">
        <v>205.02</v>
      </c>
      <c r="F15" s="60"/>
      <c r="G15" s="61"/>
    </row>
    <row r="16" spans="1:7" x14ac:dyDescent="0.3">
      <c r="A16" s="64" t="s">
        <v>16</v>
      </c>
      <c r="B16" s="69">
        <v>32</v>
      </c>
      <c r="C16" s="65">
        <v>3529</v>
      </c>
      <c r="D16" s="66">
        <f>SUM(D5:D15)</f>
        <v>2256.197369</v>
      </c>
      <c r="F16" s="62"/>
      <c r="G16" s="6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State</vt:lpstr>
      <vt:lpstr>By Ind</vt:lpstr>
      <vt:lpstr>By Loc</vt:lpstr>
      <vt:lpstr>By 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Ahmad Emir Faiz Hishamnuri</dc:creator>
  <cp:lastModifiedBy>Ang Jin Sheng</cp:lastModifiedBy>
  <dcterms:created xsi:type="dcterms:W3CDTF">2021-03-02T01:52:54Z</dcterms:created>
  <dcterms:modified xsi:type="dcterms:W3CDTF">2026-03-03T04:43:54Z</dcterms:modified>
</cp:coreProperties>
</file>