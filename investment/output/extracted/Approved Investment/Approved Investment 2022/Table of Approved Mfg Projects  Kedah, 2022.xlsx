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ukhi\Desktop\Data Statistik Pelaburan MIDA\2022\Data Pelaburan 2022 final\"/>
    </mc:Choice>
  </mc:AlternateContent>
  <xr:revisionPtr revIDLastSave="0" documentId="13_ncr:1_{F54B7339-AE18-4D0F-8A9C-5C64E4B8ADFD}" xr6:coauthVersionLast="47" xr6:coauthVersionMax="47" xr10:uidLastSave="{00000000-0000-0000-0000-000000000000}"/>
  <bookViews>
    <workbookView xWindow="21480" yWindow="-120" windowWidth="24240" windowHeight="13020" tabRatio="752" xr2:uid="{00000000-000D-0000-FFFF-FFFF00000000}"/>
  </bookViews>
  <sheets>
    <sheet name="By State" sheetId="1" r:id="rId1"/>
    <sheet name="By Industry" sheetId="5" r:id="rId2"/>
    <sheet name="By Location" sheetId="6" r:id="rId3"/>
    <sheet name="By Country" sheetId="7" r:id="rId4"/>
  </sheets>
  <definedNames>
    <definedName name="_xlnm._FilterDatabase" localSheetId="1" hidden="1">'By Industry'!#REF!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F23" i="6"/>
  <c r="E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23" i="6" s="1"/>
  <c r="F22" i="5"/>
  <c r="E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22" i="5" s="1"/>
  <c r="G6" i="5"/>
  <c r="F21" i="1"/>
  <c r="E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1" i="1" l="1"/>
</calcChain>
</file>

<file path=xl/sharedStrings.xml><?xml version="1.0" encoding="utf-8"?>
<sst xmlns="http://schemas.openxmlformats.org/spreadsheetml/2006/main" count="94" uniqueCount="78">
  <si>
    <t>No. of Projects</t>
  </si>
  <si>
    <t>Employment</t>
  </si>
  <si>
    <t>Sabah</t>
  </si>
  <si>
    <t>Johor</t>
  </si>
  <si>
    <t>Selangor</t>
  </si>
  <si>
    <t>Kedah</t>
  </si>
  <si>
    <t>Sarawak</t>
  </si>
  <si>
    <t>Perak</t>
  </si>
  <si>
    <t>Melaka</t>
  </si>
  <si>
    <t>Pahang</t>
  </si>
  <si>
    <t>Perlis</t>
  </si>
  <si>
    <t>Terengganu</t>
  </si>
  <si>
    <t>W.P. Kuala Lumpur</t>
  </si>
  <si>
    <t>Kelantan</t>
  </si>
  <si>
    <t>W.P. Labuan</t>
  </si>
  <si>
    <t>Pulau Pinang</t>
  </si>
  <si>
    <t>Negeri Sembilan</t>
  </si>
  <si>
    <t>Total</t>
  </si>
  <si>
    <t>-</t>
  </si>
  <si>
    <t>State, Main Sector &amp; Sector</t>
  </si>
  <si>
    <t>Basic Metal Products</t>
  </si>
  <si>
    <t>Chemicals &amp; Chemical Products</t>
  </si>
  <si>
    <t>Electrical &amp; Electronics</t>
  </si>
  <si>
    <t>Fabricated Metal Products</t>
  </si>
  <si>
    <t>Food Manufacturing</t>
  </si>
  <si>
    <t>Furniture &amp; Fixtures</t>
  </si>
  <si>
    <t>Machinery &amp; Equipment</t>
  </si>
  <si>
    <t>Miscellaneous</t>
  </si>
  <si>
    <t>Plastic Products</t>
  </si>
  <si>
    <t>Rubber Products</t>
  </si>
  <si>
    <t>Scientific &amp; Measuring Equipment</t>
  </si>
  <si>
    <t>Textiles &amp; Textile Products</t>
  </si>
  <si>
    <t>Transport Equipment</t>
  </si>
  <si>
    <t>Wood &amp; Wood Products</t>
  </si>
  <si>
    <t>Main Sector &amp; State</t>
  </si>
  <si>
    <t>Beverages &amp; Tobacco</t>
  </si>
  <si>
    <t>Paper, Printing &amp; Publishing</t>
  </si>
  <si>
    <t xml:space="preserve"> Location</t>
  </si>
  <si>
    <t>Total Employment</t>
  </si>
  <si>
    <t>Bakar Arang IE</t>
  </si>
  <si>
    <t>Bukit Makmur Ind. Park</t>
  </si>
  <si>
    <t>Gurun</t>
  </si>
  <si>
    <t>Gurun IE</t>
  </si>
  <si>
    <t>Jitra</t>
  </si>
  <si>
    <t>Kuala Ketil</t>
  </si>
  <si>
    <t>Kuala Ketil IE</t>
  </si>
  <si>
    <t>Kulim</t>
  </si>
  <si>
    <t>Kulim High Tech Ind. Park</t>
  </si>
  <si>
    <t>Kulim IE</t>
  </si>
  <si>
    <t>Lunas</t>
  </si>
  <si>
    <t>Padang Meha IE</t>
  </si>
  <si>
    <t>Pendang</t>
  </si>
  <si>
    <t>Sungai Lalang (MIEL) IE</t>
  </si>
  <si>
    <t>Sungai Petani</t>
  </si>
  <si>
    <t>Sungai Petani IE</t>
  </si>
  <si>
    <t>Taman Ria Jaya Light IE</t>
  </si>
  <si>
    <t>Country</t>
  </si>
  <si>
    <t>Hong Kong SAR, China</t>
  </si>
  <si>
    <t>Singapore</t>
  </si>
  <si>
    <t>Taipei</t>
  </si>
  <si>
    <t>USA</t>
  </si>
  <si>
    <t>***</t>
  </si>
  <si>
    <t>Australia</t>
  </si>
  <si>
    <t>Cayman Islands</t>
  </si>
  <si>
    <t>Germany</t>
  </si>
  <si>
    <t>Japan</t>
  </si>
  <si>
    <t>Jordan</t>
  </si>
  <si>
    <t>The People’s Republic of China</t>
  </si>
  <si>
    <t>Turkey</t>
  </si>
  <si>
    <t>United Kingdom</t>
  </si>
  <si>
    <t>Domestic Investment             (RM - In Million)</t>
  </si>
  <si>
    <t>Foreign Investment         (RM - In Million)</t>
  </si>
  <si>
    <t>Total 
Investment              (RM - In Million)</t>
  </si>
  <si>
    <t>TABLE OF APPROVED MANUFACTURING PROJECTS BY INDUSTRY IN KEDAH , FOR THE YEAR OF 2022</t>
  </si>
  <si>
    <t>TABLE OF APPROVED MANUFACTURING PROJECTS BY STATE, FOR THE YEAR OF 2022</t>
  </si>
  <si>
    <r>
      <t xml:space="preserve">TABLE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 xml:space="preserve"> BY LOCATION, FOR THE YEAR OF 2022</t>
    </r>
  </si>
  <si>
    <r>
      <t xml:space="preserve">TABLE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 xml:space="preserve"> BY COUNTRY, FOR THE YEAR OF 2022</t>
    </r>
  </si>
  <si>
    <t>Foreign Investment (RM - In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</si>
</sst>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2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4" fontId="0" fillId="0" borderId="1" xfId="0" applyNumberFormat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2:K21"/>
  <sheetViews>
    <sheetView tabSelected="1" workbookViewId="0">
      <selection activeCell="B2" sqref="B2:G2"/>
    </sheetView>
  </sheetViews>
  <sheetFormatPr defaultColWidth="8.7109375" defaultRowHeight="15" x14ac:dyDescent="0.25"/>
  <cols>
    <col min="2" max="2" width="22.85546875" customWidth="1"/>
    <col min="3" max="3" width="10.42578125" style="5" customWidth="1"/>
    <col min="4" max="4" width="12.28515625" style="5" bestFit="1" customWidth="1"/>
    <col min="5" max="7" width="16.140625" style="5" customWidth="1"/>
    <col min="9" max="9" width="18.28515625" customWidth="1"/>
    <col min="10" max="10" width="14.5703125" customWidth="1"/>
    <col min="11" max="11" width="16.5703125" customWidth="1"/>
  </cols>
  <sheetData>
    <row r="2" spans="2:11" ht="14.45" customHeight="1" x14ac:dyDescent="0.35">
      <c r="B2" s="33" t="s">
        <v>74</v>
      </c>
      <c r="C2" s="33"/>
      <c r="D2" s="33"/>
      <c r="E2" s="33"/>
      <c r="F2" s="33"/>
      <c r="G2" s="33"/>
    </row>
    <row r="4" spans="2:11" ht="14.45" customHeight="1" x14ac:dyDescent="0.25">
      <c r="B4" s="29" t="s">
        <v>34</v>
      </c>
      <c r="C4" s="30">
        <v>2022</v>
      </c>
      <c r="D4" s="31"/>
      <c r="E4" s="31"/>
      <c r="F4" s="31"/>
      <c r="G4" s="32"/>
    </row>
    <row r="5" spans="2:11" ht="45" x14ac:dyDescent="0.25">
      <c r="B5" s="29"/>
      <c r="C5" s="1" t="s">
        <v>0</v>
      </c>
      <c r="D5" s="1" t="s">
        <v>38</v>
      </c>
      <c r="E5" s="1" t="s">
        <v>70</v>
      </c>
      <c r="F5" s="1" t="s">
        <v>71</v>
      </c>
      <c r="G5" s="1" t="s">
        <v>72</v>
      </c>
    </row>
    <row r="6" spans="2:11" x14ac:dyDescent="0.25">
      <c r="B6" s="14" t="s">
        <v>3</v>
      </c>
      <c r="C6" s="9">
        <v>166</v>
      </c>
      <c r="D6" s="9">
        <v>14739</v>
      </c>
      <c r="E6" s="20">
        <v>1992.611754</v>
      </c>
      <c r="F6" s="20">
        <v>12589.934351</v>
      </c>
      <c r="G6" s="20">
        <f>E6+F6</f>
        <v>14582.546104999999</v>
      </c>
      <c r="I6" s="23"/>
      <c r="J6" s="23"/>
      <c r="K6" s="23"/>
    </row>
    <row r="7" spans="2:11" x14ac:dyDescent="0.25">
      <c r="B7" s="14" t="s">
        <v>15</v>
      </c>
      <c r="C7" s="9">
        <v>135</v>
      </c>
      <c r="D7" s="9">
        <v>15752</v>
      </c>
      <c r="E7" s="20">
        <v>3951.88573</v>
      </c>
      <c r="F7" s="20">
        <v>9759.0592080000006</v>
      </c>
      <c r="G7" s="20">
        <f t="shared" ref="G7:G19" si="0">E7+F7</f>
        <v>13710.944938000001</v>
      </c>
      <c r="I7" s="23"/>
      <c r="J7" s="23"/>
      <c r="K7" s="23"/>
    </row>
    <row r="8" spans="2:11" x14ac:dyDescent="0.25">
      <c r="B8" s="14" t="s">
        <v>4</v>
      </c>
      <c r="C8" s="9">
        <v>265</v>
      </c>
      <c r="D8" s="9">
        <v>15665</v>
      </c>
      <c r="E8" s="20">
        <v>4642.0094010000003</v>
      </c>
      <c r="F8" s="20">
        <v>7565.739313</v>
      </c>
      <c r="G8" s="20">
        <f t="shared" si="0"/>
        <v>12207.748714000001</v>
      </c>
      <c r="I8" s="23"/>
      <c r="J8" s="23"/>
      <c r="K8" s="23"/>
    </row>
    <row r="9" spans="2:11" x14ac:dyDescent="0.25">
      <c r="B9" s="15" t="s">
        <v>5</v>
      </c>
      <c r="C9" s="10">
        <v>42</v>
      </c>
      <c r="D9" s="10">
        <v>5730</v>
      </c>
      <c r="E9" s="21">
        <v>871.06235600000002</v>
      </c>
      <c r="F9" s="21">
        <v>11112.114609</v>
      </c>
      <c r="G9" s="21">
        <f>E9+F9</f>
        <v>11983.176965000001</v>
      </c>
      <c r="I9" s="23"/>
      <c r="J9" s="23"/>
      <c r="K9" s="23"/>
    </row>
    <row r="10" spans="2:11" x14ac:dyDescent="0.25">
      <c r="B10" s="14" t="s">
        <v>2</v>
      </c>
      <c r="C10" s="9">
        <v>23</v>
      </c>
      <c r="D10" s="9">
        <v>3307</v>
      </c>
      <c r="E10" s="20">
        <v>793.99738400000001</v>
      </c>
      <c r="F10" s="20">
        <v>7587.1567519999999</v>
      </c>
      <c r="G10" s="20">
        <f t="shared" si="0"/>
        <v>8381.1541359999992</v>
      </c>
      <c r="I10" s="23"/>
      <c r="J10" s="23"/>
      <c r="K10" s="23"/>
    </row>
    <row r="11" spans="2:11" x14ac:dyDescent="0.25">
      <c r="B11" s="14" t="s">
        <v>16</v>
      </c>
      <c r="C11" s="9">
        <v>33</v>
      </c>
      <c r="D11" s="9">
        <v>3115</v>
      </c>
      <c r="E11" s="20">
        <v>599.39048200000002</v>
      </c>
      <c r="F11" s="20">
        <v>6532.5871719999996</v>
      </c>
      <c r="G11" s="20">
        <f t="shared" si="0"/>
        <v>7131.9776539999993</v>
      </c>
      <c r="I11" s="23"/>
      <c r="J11" s="23"/>
      <c r="K11" s="23"/>
    </row>
    <row r="12" spans="2:11" x14ac:dyDescent="0.25">
      <c r="B12" s="14" t="s">
        <v>8</v>
      </c>
      <c r="C12" s="9">
        <v>33</v>
      </c>
      <c r="D12" s="9">
        <v>4013</v>
      </c>
      <c r="E12" s="20">
        <v>578.37454600000001</v>
      </c>
      <c r="F12" s="20">
        <v>6514.130572</v>
      </c>
      <c r="G12" s="20">
        <f t="shared" si="0"/>
        <v>7092.505118</v>
      </c>
      <c r="I12" s="23"/>
      <c r="J12" s="23"/>
      <c r="K12" s="23"/>
    </row>
    <row r="13" spans="2:11" x14ac:dyDescent="0.25">
      <c r="B13" s="14" t="s">
        <v>7</v>
      </c>
      <c r="C13" s="9">
        <v>53</v>
      </c>
      <c r="D13" s="9">
        <v>7043</v>
      </c>
      <c r="E13" s="20">
        <v>1730.722235</v>
      </c>
      <c r="F13" s="20">
        <v>2185.1798060000001</v>
      </c>
      <c r="G13" s="20">
        <f t="shared" si="0"/>
        <v>3915.9020410000003</v>
      </c>
      <c r="I13" s="23"/>
      <c r="J13" s="23"/>
      <c r="K13" s="23"/>
    </row>
    <row r="14" spans="2:11" x14ac:dyDescent="0.25">
      <c r="B14" s="14" t="s">
        <v>9</v>
      </c>
      <c r="C14" s="9">
        <v>13</v>
      </c>
      <c r="D14" s="9">
        <v>4291</v>
      </c>
      <c r="E14" s="20">
        <v>2512.716606</v>
      </c>
      <c r="F14" s="20">
        <v>24.609593</v>
      </c>
      <c r="G14" s="20">
        <f t="shared" si="0"/>
        <v>2537.3261990000001</v>
      </c>
      <c r="I14" s="23"/>
      <c r="J14" s="23"/>
      <c r="K14" s="23"/>
    </row>
    <row r="15" spans="2:11" x14ac:dyDescent="0.25">
      <c r="B15" s="14" t="s">
        <v>6</v>
      </c>
      <c r="C15" s="9">
        <v>8</v>
      </c>
      <c r="D15" s="9">
        <v>1160</v>
      </c>
      <c r="E15" s="20">
        <v>103.736352</v>
      </c>
      <c r="F15" s="20">
        <v>1181.9371189999999</v>
      </c>
      <c r="G15" s="20">
        <f t="shared" si="0"/>
        <v>1285.6734709999998</v>
      </c>
      <c r="I15" s="23"/>
      <c r="J15" s="23"/>
      <c r="K15" s="23"/>
    </row>
    <row r="16" spans="2:11" x14ac:dyDescent="0.25">
      <c r="B16" s="14" t="s">
        <v>13</v>
      </c>
      <c r="C16" s="9">
        <v>7</v>
      </c>
      <c r="D16" s="9">
        <v>684</v>
      </c>
      <c r="E16" s="20">
        <v>79.200378999999998</v>
      </c>
      <c r="F16" s="20">
        <v>913.28</v>
      </c>
      <c r="G16" s="20">
        <f t="shared" si="0"/>
        <v>992.48037899999997</v>
      </c>
      <c r="I16" s="23"/>
      <c r="J16" s="23"/>
      <c r="K16" s="23"/>
    </row>
    <row r="17" spans="2:11" x14ac:dyDescent="0.25">
      <c r="B17" s="14" t="s">
        <v>11</v>
      </c>
      <c r="C17" s="9">
        <v>11</v>
      </c>
      <c r="D17" s="9">
        <v>282</v>
      </c>
      <c r="E17" s="20">
        <v>292.16333600000002</v>
      </c>
      <c r="F17" s="20">
        <v>17.791004999999998</v>
      </c>
      <c r="G17" s="20">
        <f t="shared" si="0"/>
        <v>309.954341</v>
      </c>
      <c r="I17" s="23"/>
      <c r="J17" s="23"/>
      <c r="K17" s="23"/>
    </row>
    <row r="18" spans="2:11" x14ac:dyDescent="0.25">
      <c r="B18" s="14" t="s">
        <v>12</v>
      </c>
      <c r="C18" s="9">
        <v>11</v>
      </c>
      <c r="D18" s="9">
        <v>306</v>
      </c>
      <c r="E18" s="20">
        <v>103.23592499999999</v>
      </c>
      <c r="F18" s="20">
        <v>36.193019999999997</v>
      </c>
      <c r="G18" s="20">
        <f t="shared" si="0"/>
        <v>139.428945</v>
      </c>
      <c r="I18" s="23"/>
      <c r="J18" s="23"/>
      <c r="K18" s="23"/>
    </row>
    <row r="19" spans="2:11" x14ac:dyDescent="0.25">
      <c r="B19" s="14" t="s">
        <v>14</v>
      </c>
      <c r="C19" s="9">
        <v>1</v>
      </c>
      <c r="D19" s="9">
        <v>6</v>
      </c>
      <c r="E19" s="20">
        <v>1.6712670000000001</v>
      </c>
      <c r="F19" s="20">
        <v>1.599642</v>
      </c>
      <c r="G19" s="20">
        <f t="shared" si="0"/>
        <v>3.2709090000000001</v>
      </c>
      <c r="I19" s="23"/>
      <c r="J19" s="23"/>
      <c r="K19" s="23"/>
    </row>
    <row r="20" spans="2:11" x14ac:dyDescent="0.25">
      <c r="B20" s="15" t="s">
        <v>10</v>
      </c>
      <c r="C20" s="10">
        <v>0</v>
      </c>
      <c r="D20" s="10">
        <v>0</v>
      </c>
      <c r="E20" s="21">
        <v>0</v>
      </c>
      <c r="F20" s="21">
        <v>0</v>
      </c>
      <c r="G20" s="21">
        <v>0</v>
      </c>
      <c r="I20" s="23"/>
      <c r="J20" s="23"/>
      <c r="K20" s="23"/>
    </row>
    <row r="21" spans="2:11" x14ac:dyDescent="0.25">
      <c r="B21" s="6" t="s">
        <v>17</v>
      </c>
      <c r="C21" s="11">
        <v>801</v>
      </c>
      <c r="D21" s="11">
        <v>76093</v>
      </c>
      <c r="E21" s="22">
        <f>SUM(E6:E20)</f>
        <v>18252.777753000006</v>
      </c>
      <c r="F21" s="22">
        <f t="shared" ref="F21:G21" si="1">SUM(F6:F20)</f>
        <v>66021.312162000031</v>
      </c>
      <c r="G21" s="22">
        <f t="shared" si="1"/>
        <v>84274.089915000004</v>
      </c>
      <c r="I21" s="24"/>
      <c r="J21" s="24"/>
      <c r="K21" s="24"/>
    </row>
  </sheetData>
  <mergeCells count="3">
    <mergeCell ref="B4:B5"/>
    <mergeCell ref="C4:G4"/>
    <mergeCell ref="B2:G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B2:K22"/>
  <sheetViews>
    <sheetView workbookViewId="0">
      <selection activeCell="E5" sqref="E5:G5"/>
    </sheetView>
  </sheetViews>
  <sheetFormatPr defaultRowHeight="15" x14ac:dyDescent="0.25"/>
  <cols>
    <col min="2" max="2" width="37.85546875" customWidth="1"/>
    <col min="4" max="4" width="12.42578125" customWidth="1"/>
    <col min="5" max="5" width="14.5703125" customWidth="1"/>
    <col min="6" max="6" width="18.7109375" customWidth="1"/>
    <col min="7" max="7" width="19" customWidth="1"/>
    <col min="9" max="9" width="20.5703125" customWidth="1"/>
    <col min="10" max="10" width="19" customWidth="1"/>
    <col min="11" max="11" width="20.7109375" customWidth="1"/>
  </cols>
  <sheetData>
    <row r="2" spans="2:11" ht="14.45" x14ac:dyDescent="0.35">
      <c r="B2" s="35" t="s">
        <v>73</v>
      </c>
      <c r="C2" s="35"/>
      <c r="D2" s="35"/>
      <c r="E2" s="35"/>
      <c r="F2" s="35"/>
      <c r="G2" s="35"/>
    </row>
    <row r="4" spans="2:11" x14ac:dyDescent="0.25">
      <c r="B4" s="29" t="s">
        <v>19</v>
      </c>
      <c r="C4" s="34">
        <v>2022</v>
      </c>
      <c r="D4" s="34"/>
      <c r="E4" s="34"/>
      <c r="F4" s="34"/>
      <c r="G4" s="34"/>
    </row>
    <row r="5" spans="2:11" ht="60" x14ac:dyDescent="0.25">
      <c r="B5" s="29"/>
      <c r="C5" s="1" t="s">
        <v>0</v>
      </c>
      <c r="D5" s="2" t="s">
        <v>38</v>
      </c>
      <c r="E5" s="1" t="s">
        <v>70</v>
      </c>
      <c r="F5" s="1" t="s">
        <v>71</v>
      </c>
      <c r="G5" s="1" t="s">
        <v>72</v>
      </c>
    </row>
    <row r="6" spans="2:11" x14ac:dyDescent="0.25">
      <c r="B6" s="4" t="s">
        <v>22</v>
      </c>
      <c r="C6" s="9">
        <v>4</v>
      </c>
      <c r="D6" s="9">
        <v>1798</v>
      </c>
      <c r="E6" s="20">
        <v>184.73400000000001</v>
      </c>
      <c r="F6" s="20">
        <v>8470.3873999999996</v>
      </c>
      <c r="G6" s="20">
        <f>E6+F6</f>
        <v>8655.1214</v>
      </c>
      <c r="I6" s="23"/>
      <c r="J6" s="23"/>
      <c r="K6" s="23"/>
    </row>
    <row r="7" spans="2:11" x14ac:dyDescent="0.25">
      <c r="B7" s="4" t="s">
        <v>26</v>
      </c>
      <c r="C7" s="9">
        <v>3</v>
      </c>
      <c r="D7" s="9">
        <v>810</v>
      </c>
      <c r="E7" s="20">
        <v>0</v>
      </c>
      <c r="F7" s="20">
        <v>1547.6409180000001</v>
      </c>
      <c r="G7" s="20">
        <f t="shared" ref="G7:G21" si="0">E7+F7</f>
        <v>1547.6409180000001</v>
      </c>
      <c r="I7" s="23"/>
      <c r="J7" s="23"/>
      <c r="K7" s="23"/>
    </row>
    <row r="8" spans="2:11" x14ac:dyDescent="0.25">
      <c r="B8" s="4" t="s">
        <v>29</v>
      </c>
      <c r="C8" s="9">
        <v>2</v>
      </c>
      <c r="D8" s="9">
        <v>706</v>
      </c>
      <c r="E8" s="20">
        <v>124</v>
      </c>
      <c r="F8" s="20">
        <v>410.56625000000003</v>
      </c>
      <c r="G8" s="20">
        <f t="shared" si="0"/>
        <v>534.56625000000008</v>
      </c>
      <c r="I8" s="23"/>
      <c r="J8" s="23"/>
      <c r="K8" s="23"/>
    </row>
    <row r="9" spans="2:11" x14ac:dyDescent="0.25">
      <c r="B9" s="4" t="s">
        <v>23</v>
      </c>
      <c r="C9" s="9">
        <v>7</v>
      </c>
      <c r="D9" s="9">
        <v>604</v>
      </c>
      <c r="E9" s="20">
        <v>81.927616999999998</v>
      </c>
      <c r="F9" s="20">
        <v>427.839291</v>
      </c>
      <c r="G9" s="20">
        <f t="shared" si="0"/>
        <v>509.766908</v>
      </c>
      <c r="I9" s="23"/>
      <c r="J9" s="23"/>
      <c r="K9" s="23"/>
    </row>
    <row r="10" spans="2:11" x14ac:dyDescent="0.25">
      <c r="B10" s="4" t="s">
        <v>24</v>
      </c>
      <c r="C10" s="9">
        <v>5</v>
      </c>
      <c r="D10" s="9">
        <v>517</v>
      </c>
      <c r="E10" s="20">
        <v>227.546989</v>
      </c>
      <c r="F10" s="20">
        <v>0</v>
      </c>
      <c r="G10" s="20">
        <f t="shared" si="0"/>
        <v>227.546989</v>
      </c>
      <c r="I10" s="23"/>
      <c r="J10" s="23"/>
      <c r="K10" s="23"/>
    </row>
    <row r="11" spans="2:11" x14ac:dyDescent="0.25">
      <c r="B11" s="4" t="s">
        <v>30</v>
      </c>
      <c r="C11" s="9">
        <v>2</v>
      </c>
      <c r="D11" s="9">
        <v>252</v>
      </c>
      <c r="E11" s="20">
        <v>4</v>
      </c>
      <c r="F11" s="20">
        <v>195.66011700000001</v>
      </c>
      <c r="G11" s="20">
        <f t="shared" si="0"/>
        <v>199.66011700000001</v>
      </c>
      <c r="I11" s="23"/>
      <c r="J11" s="23"/>
      <c r="K11" s="23"/>
    </row>
    <row r="12" spans="2:11" x14ac:dyDescent="0.25">
      <c r="B12" s="4" t="s">
        <v>20</v>
      </c>
      <c r="C12" s="9">
        <v>4</v>
      </c>
      <c r="D12" s="9">
        <v>364</v>
      </c>
      <c r="E12" s="20">
        <v>118.54215499999999</v>
      </c>
      <c r="F12" s="20">
        <v>8.4499999999999993</v>
      </c>
      <c r="G12" s="20">
        <f t="shared" si="0"/>
        <v>126.992155</v>
      </c>
      <c r="I12" s="23"/>
      <c r="J12" s="23"/>
      <c r="K12" s="23"/>
    </row>
    <row r="13" spans="2:11" x14ac:dyDescent="0.25">
      <c r="B13" s="4" t="s">
        <v>25</v>
      </c>
      <c r="C13" s="9">
        <v>1</v>
      </c>
      <c r="D13" s="9">
        <v>10</v>
      </c>
      <c r="E13" s="20">
        <v>33.250999999999998</v>
      </c>
      <c r="F13" s="20">
        <v>0</v>
      </c>
      <c r="G13" s="20">
        <f t="shared" si="0"/>
        <v>33.250999999999998</v>
      </c>
      <c r="I13" s="23"/>
      <c r="J13" s="23"/>
      <c r="K13" s="23"/>
    </row>
    <row r="14" spans="2:11" x14ac:dyDescent="0.25">
      <c r="B14" s="4" t="s">
        <v>32</v>
      </c>
      <c r="C14" s="9">
        <v>4</v>
      </c>
      <c r="D14" s="9">
        <v>152</v>
      </c>
      <c r="E14" s="20">
        <v>29.083834</v>
      </c>
      <c r="F14" s="20">
        <v>1.4265429999999999</v>
      </c>
      <c r="G14" s="20">
        <f t="shared" si="0"/>
        <v>30.510376999999998</v>
      </c>
      <c r="I14" s="23"/>
      <c r="J14" s="23"/>
      <c r="K14" s="23"/>
    </row>
    <row r="15" spans="2:11" x14ac:dyDescent="0.25">
      <c r="B15" s="4" t="s">
        <v>36</v>
      </c>
      <c r="C15" s="9">
        <v>3</v>
      </c>
      <c r="D15" s="9">
        <v>152</v>
      </c>
      <c r="E15" s="20">
        <v>23.113924000000001</v>
      </c>
      <c r="F15" s="20">
        <v>7.2940899999999997</v>
      </c>
      <c r="G15" s="20">
        <f t="shared" si="0"/>
        <v>30.408014000000001</v>
      </c>
      <c r="I15" s="23"/>
      <c r="J15" s="23"/>
      <c r="K15" s="23"/>
    </row>
    <row r="16" spans="2:11" x14ac:dyDescent="0.25">
      <c r="B16" s="4" t="s">
        <v>21</v>
      </c>
      <c r="C16" s="9">
        <v>3</v>
      </c>
      <c r="D16" s="9">
        <v>76</v>
      </c>
      <c r="E16" s="20">
        <v>29.807713</v>
      </c>
      <c r="F16" s="20">
        <v>0</v>
      </c>
      <c r="G16" s="20">
        <f t="shared" si="0"/>
        <v>29.807713</v>
      </c>
      <c r="I16" s="23"/>
      <c r="J16" s="23"/>
      <c r="K16" s="23"/>
    </row>
    <row r="17" spans="2:11" x14ac:dyDescent="0.25">
      <c r="B17" s="4" t="s">
        <v>33</v>
      </c>
      <c r="C17" s="9">
        <v>1</v>
      </c>
      <c r="D17" s="9">
        <v>144</v>
      </c>
      <c r="E17" s="20">
        <v>0</v>
      </c>
      <c r="F17" s="20">
        <v>28</v>
      </c>
      <c r="G17" s="20">
        <f t="shared" si="0"/>
        <v>28</v>
      </c>
      <c r="I17" s="23"/>
      <c r="J17" s="23"/>
      <c r="K17" s="23"/>
    </row>
    <row r="18" spans="2:11" x14ac:dyDescent="0.25">
      <c r="B18" s="4" t="s">
        <v>31</v>
      </c>
      <c r="C18" s="9">
        <v>1</v>
      </c>
      <c r="D18" s="9">
        <v>113</v>
      </c>
      <c r="E18" s="20">
        <v>7.65</v>
      </c>
      <c r="F18" s="20">
        <v>14.85</v>
      </c>
      <c r="G18" s="20">
        <f t="shared" si="0"/>
        <v>22.5</v>
      </c>
      <c r="I18" s="23"/>
      <c r="J18" s="23"/>
      <c r="K18" s="23"/>
    </row>
    <row r="19" spans="2:11" x14ac:dyDescent="0.25">
      <c r="B19" s="4" t="s">
        <v>27</v>
      </c>
      <c r="C19" s="9">
        <v>1</v>
      </c>
      <c r="D19" s="9">
        <v>0</v>
      </c>
      <c r="E19" s="20">
        <v>6.75</v>
      </c>
      <c r="F19" s="20">
        <v>0</v>
      </c>
      <c r="G19" s="20">
        <f t="shared" si="0"/>
        <v>6.75</v>
      </c>
      <c r="I19" s="23"/>
      <c r="J19" s="23"/>
      <c r="K19" s="23"/>
    </row>
    <row r="20" spans="2:11" x14ac:dyDescent="0.25">
      <c r="B20" s="4" t="s">
        <v>28</v>
      </c>
      <c r="C20" s="9">
        <v>1</v>
      </c>
      <c r="D20" s="9">
        <v>32</v>
      </c>
      <c r="E20" s="20">
        <v>0.65512400000000004</v>
      </c>
      <c r="F20" s="20">
        <v>0</v>
      </c>
      <c r="G20" s="20">
        <f t="shared" si="0"/>
        <v>0.65512400000000004</v>
      </c>
      <c r="I20" s="23"/>
      <c r="J20" s="23"/>
      <c r="K20" s="23"/>
    </row>
    <row r="21" spans="2:11" x14ac:dyDescent="0.25">
      <c r="B21" s="4" t="s">
        <v>35</v>
      </c>
      <c r="C21" s="9" t="s">
        <v>18</v>
      </c>
      <c r="D21" s="9" t="s">
        <v>18</v>
      </c>
      <c r="E21" s="20">
        <v>0</v>
      </c>
      <c r="F21" s="20">
        <v>0</v>
      </c>
      <c r="G21" s="20">
        <f t="shared" si="0"/>
        <v>0</v>
      </c>
      <c r="I21" s="23"/>
      <c r="J21" s="23"/>
      <c r="K21" s="23"/>
    </row>
    <row r="22" spans="2:11" x14ac:dyDescent="0.25">
      <c r="B22" s="3" t="s">
        <v>17</v>
      </c>
      <c r="C22" s="11">
        <v>42</v>
      </c>
      <c r="D22" s="11">
        <v>5730</v>
      </c>
      <c r="E22" s="22">
        <f>SUM(E6:E21)</f>
        <v>871.06235600000002</v>
      </c>
      <c r="F22" s="22">
        <f t="shared" ref="F22:G22" si="1">SUM(F6:F21)</f>
        <v>11112.114609</v>
      </c>
      <c r="G22" s="22">
        <f t="shared" si="1"/>
        <v>11983.176965000002</v>
      </c>
      <c r="I22" s="24"/>
      <c r="J22" s="24"/>
      <c r="K22" s="24"/>
    </row>
  </sheetData>
  <mergeCells count="3">
    <mergeCell ref="B4:B5"/>
    <mergeCell ref="C4:G4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2:K23"/>
  <sheetViews>
    <sheetView workbookViewId="0">
      <selection activeCell="E5" sqref="E5:G5"/>
    </sheetView>
  </sheetViews>
  <sheetFormatPr defaultRowHeight="15" x14ac:dyDescent="0.25"/>
  <cols>
    <col min="2" max="2" width="35.42578125" bestFit="1" customWidth="1"/>
    <col min="4" max="4" width="13.28515625" customWidth="1"/>
    <col min="5" max="5" width="13.5703125" customWidth="1"/>
    <col min="6" max="6" width="18" customWidth="1"/>
    <col min="7" max="7" width="16.85546875" customWidth="1"/>
    <col min="9" max="9" width="16.42578125" customWidth="1"/>
    <col min="10" max="10" width="15.7109375" customWidth="1"/>
    <col min="11" max="11" width="20.7109375" customWidth="1"/>
  </cols>
  <sheetData>
    <row r="2" spans="2:11" ht="14.45" customHeight="1" x14ac:dyDescent="0.25">
      <c r="B2" s="36" t="s">
        <v>75</v>
      </c>
      <c r="C2" s="36"/>
      <c r="D2" s="36"/>
      <c r="E2" s="36"/>
      <c r="F2" s="36"/>
      <c r="G2" s="36"/>
    </row>
    <row r="3" spans="2:11" ht="14.45" x14ac:dyDescent="0.35">
      <c r="B3" s="12"/>
      <c r="C3" s="12"/>
      <c r="D3" s="12"/>
      <c r="E3" s="12"/>
      <c r="F3" s="12"/>
      <c r="G3" s="12"/>
    </row>
    <row r="4" spans="2:11" x14ac:dyDescent="0.25">
      <c r="B4" s="34" t="s">
        <v>37</v>
      </c>
      <c r="C4" s="34">
        <v>2022</v>
      </c>
      <c r="D4" s="34"/>
      <c r="E4" s="34"/>
      <c r="F4" s="34"/>
      <c r="G4" s="34"/>
    </row>
    <row r="5" spans="2:11" ht="60" x14ac:dyDescent="0.25">
      <c r="B5" s="34"/>
      <c r="C5" s="1" t="s">
        <v>0</v>
      </c>
      <c r="D5" s="7" t="s">
        <v>38</v>
      </c>
      <c r="E5" s="1" t="s">
        <v>70</v>
      </c>
      <c r="F5" s="1" t="s">
        <v>71</v>
      </c>
      <c r="G5" s="1" t="s">
        <v>72</v>
      </c>
    </row>
    <row r="6" spans="2:11" x14ac:dyDescent="0.25">
      <c r="B6" s="13" t="s">
        <v>47</v>
      </c>
      <c r="C6" s="9">
        <v>9</v>
      </c>
      <c r="D6" s="9">
        <v>3314</v>
      </c>
      <c r="E6" s="20">
        <v>308.73399999999998</v>
      </c>
      <c r="F6" s="20">
        <v>10428.594568</v>
      </c>
      <c r="G6" s="20">
        <f>E6+F6</f>
        <v>10737.328568000001</v>
      </c>
      <c r="I6" s="23"/>
      <c r="J6" s="23"/>
      <c r="K6" s="23"/>
    </row>
    <row r="7" spans="2:11" x14ac:dyDescent="0.25">
      <c r="B7" s="13" t="s">
        <v>46</v>
      </c>
      <c r="C7" s="9">
        <v>2</v>
      </c>
      <c r="D7" s="9">
        <v>460</v>
      </c>
      <c r="E7" s="20">
        <v>4.55</v>
      </c>
      <c r="F7" s="20">
        <v>418.988247</v>
      </c>
      <c r="G7" s="20">
        <f t="shared" ref="G7:G22" si="0">E7+F7</f>
        <v>423.53824700000001</v>
      </c>
      <c r="I7" s="23"/>
      <c r="J7" s="23"/>
      <c r="K7" s="23"/>
    </row>
    <row r="8" spans="2:11" x14ac:dyDescent="0.25">
      <c r="B8" s="13" t="s">
        <v>48</v>
      </c>
      <c r="C8" s="9">
        <v>5</v>
      </c>
      <c r="D8" s="9">
        <v>360</v>
      </c>
      <c r="E8" s="20">
        <v>40.901000000000003</v>
      </c>
      <c r="F8" s="20">
        <v>217.80420699999999</v>
      </c>
      <c r="G8" s="20">
        <f t="shared" si="0"/>
        <v>258.70520699999997</v>
      </c>
      <c r="I8" s="23"/>
      <c r="J8" s="23"/>
      <c r="K8" s="23"/>
    </row>
    <row r="9" spans="2:11" x14ac:dyDescent="0.25">
      <c r="B9" s="13" t="s">
        <v>43</v>
      </c>
      <c r="C9" s="9">
        <v>1</v>
      </c>
      <c r="D9" s="9">
        <v>289</v>
      </c>
      <c r="E9" s="20">
        <v>176.01971499999999</v>
      </c>
      <c r="F9" s="20">
        <v>0</v>
      </c>
      <c r="G9" s="20">
        <f t="shared" si="0"/>
        <v>176.01971499999999</v>
      </c>
      <c r="I9" s="23"/>
      <c r="J9" s="23"/>
      <c r="K9" s="23"/>
    </row>
    <row r="10" spans="2:11" x14ac:dyDescent="0.25">
      <c r="B10" s="13" t="s">
        <v>42</v>
      </c>
      <c r="C10" s="9">
        <v>2</v>
      </c>
      <c r="D10" s="9">
        <v>196</v>
      </c>
      <c r="E10" s="20">
        <v>93.8</v>
      </c>
      <c r="F10" s="20">
        <v>0</v>
      </c>
      <c r="G10" s="20">
        <f t="shared" si="0"/>
        <v>93.8</v>
      </c>
      <c r="I10" s="23"/>
      <c r="J10" s="23"/>
      <c r="K10" s="23"/>
    </row>
    <row r="11" spans="2:11" x14ac:dyDescent="0.25">
      <c r="B11" s="13" t="s">
        <v>53</v>
      </c>
      <c r="C11" s="9">
        <v>7</v>
      </c>
      <c r="D11" s="9">
        <v>373</v>
      </c>
      <c r="E11" s="20">
        <v>55.248578000000002</v>
      </c>
      <c r="F11" s="20">
        <v>35.637365000000003</v>
      </c>
      <c r="G11" s="20">
        <f t="shared" si="0"/>
        <v>90.885942999999997</v>
      </c>
      <c r="I11" s="23"/>
      <c r="J11" s="23"/>
      <c r="K11" s="23"/>
    </row>
    <row r="12" spans="2:11" x14ac:dyDescent="0.25">
      <c r="B12" s="13" t="s">
        <v>54</v>
      </c>
      <c r="C12" s="9">
        <v>3</v>
      </c>
      <c r="D12" s="9">
        <v>151</v>
      </c>
      <c r="E12" s="20">
        <v>58.173369999999998</v>
      </c>
      <c r="F12" s="20">
        <v>7.461449</v>
      </c>
      <c r="G12" s="20">
        <f t="shared" si="0"/>
        <v>65.634818999999993</v>
      </c>
      <c r="I12" s="23"/>
      <c r="J12" s="23"/>
      <c r="K12" s="23"/>
    </row>
    <row r="13" spans="2:11" x14ac:dyDescent="0.25">
      <c r="B13" s="13" t="s">
        <v>49</v>
      </c>
      <c r="C13" s="9">
        <v>2</v>
      </c>
      <c r="D13" s="9">
        <v>156</v>
      </c>
      <c r="E13" s="20">
        <v>25.923924</v>
      </c>
      <c r="F13" s="20">
        <v>0</v>
      </c>
      <c r="G13" s="20">
        <f t="shared" si="0"/>
        <v>25.923924</v>
      </c>
      <c r="I13" s="23"/>
      <c r="J13" s="23"/>
      <c r="K13" s="23"/>
    </row>
    <row r="14" spans="2:11" x14ac:dyDescent="0.25">
      <c r="B14" s="13" t="s">
        <v>51</v>
      </c>
      <c r="C14" s="9">
        <v>1</v>
      </c>
      <c r="D14" s="9">
        <v>93</v>
      </c>
      <c r="E14" s="20">
        <v>18.910024</v>
      </c>
      <c r="F14" s="20">
        <v>0</v>
      </c>
      <c r="G14" s="20">
        <f t="shared" si="0"/>
        <v>18.910024</v>
      </c>
      <c r="I14" s="23"/>
      <c r="J14" s="23"/>
      <c r="K14" s="23"/>
    </row>
    <row r="15" spans="2:11" x14ac:dyDescent="0.25">
      <c r="B15" s="13" t="s">
        <v>52</v>
      </c>
      <c r="C15" s="9">
        <v>2</v>
      </c>
      <c r="D15" s="9">
        <v>46</v>
      </c>
      <c r="E15" s="20">
        <v>18.374084</v>
      </c>
      <c r="F15" s="20">
        <v>0</v>
      </c>
      <c r="G15" s="20">
        <f t="shared" si="0"/>
        <v>18.374084</v>
      </c>
      <c r="I15" s="23"/>
      <c r="J15" s="23"/>
      <c r="K15" s="23"/>
    </row>
    <row r="16" spans="2:11" x14ac:dyDescent="0.25">
      <c r="B16" s="13" t="s">
        <v>41</v>
      </c>
      <c r="C16" s="9">
        <v>1</v>
      </c>
      <c r="D16" s="9">
        <v>47</v>
      </c>
      <c r="E16" s="20">
        <v>18.242155</v>
      </c>
      <c r="F16" s="20">
        <v>0</v>
      </c>
      <c r="G16" s="20">
        <f t="shared" si="0"/>
        <v>18.242155</v>
      </c>
      <c r="I16" s="23"/>
      <c r="J16" s="23"/>
      <c r="K16" s="23"/>
    </row>
    <row r="17" spans="2:11" x14ac:dyDescent="0.25">
      <c r="B17" s="13" t="s">
        <v>45</v>
      </c>
      <c r="C17" s="9">
        <v>1</v>
      </c>
      <c r="D17" s="9">
        <v>77</v>
      </c>
      <c r="E17" s="20">
        <v>15.546108</v>
      </c>
      <c r="F17" s="20">
        <v>0</v>
      </c>
      <c r="G17" s="20">
        <f t="shared" si="0"/>
        <v>15.546108</v>
      </c>
      <c r="I17" s="23"/>
      <c r="J17" s="23"/>
      <c r="K17" s="23"/>
    </row>
    <row r="18" spans="2:11" x14ac:dyDescent="0.25">
      <c r="B18" s="13" t="s">
        <v>50</v>
      </c>
      <c r="C18" s="9">
        <v>2</v>
      </c>
      <c r="D18" s="9">
        <v>84</v>
      </c>
      <c r="E18" s="20">
        <v>13.768789</v>
      </c>
      <c r="F18" s="20">
        <v>1.4265429999999999</v>
      </c>
      <c r="G18" s="20">
        <f t="shared" si="0"/>
        <v>15.195332000000001</v>
      </c>
      <c r="I18" s="23"/>
      <c r="J18" s="23"/>
      <c r="K18" s="23"/>
    </row>
    <row r="19" spans="2:11" x14ac:dyDescent="0.25">
      <c r="B19" s="13" t="s">
        <v>40</v>
      </c>
      <c r="C19" s="9">
        <v>1</v>
      </c>
      <c r="D19" s="9">
        <v>17</v>
      </c>
      <c r="E19" s="20">
        <v>13.317712999999999</v>
      </c>
      <c r="F19" s="20">
        <v>0</v>
      </c>
      <c r="G19" s="20">
        <f t="shared" si="0"/>
        <v>13.317712999999999</v>
      </c>
      <c r="I19" s="23"/>
      <c r="J19" s="23"/>
      <c r="K19" s="23"/>
    </row>
    <row r="20" spans="2:11" x14ac:dyDescent="0.25">
      <c r="B20" s="13" t="s">
        <v>44</v>
      </c>
      <c r="C20" s="9">
        <v>1</v>
      </c>
      <c r="D20" s="9">
        <v>35</v>
      </c>
      <c r="E20" s="20">
        <v>8.8977719999999998</v>
      </c>
      <c r="F20" s="20">
        <v>0</v>
      </c>
      <c r="G20" s="20">
        <f t="shared" si="0"/>
        <v>8.8977719999999998</v>
      </c>
      <c r="I20" s="23"/>
      <c r="J20" s="23"/>
      <c r="K20" s="23"/>
    </row>
    <row r="21" spans="2:11" x14ac:dyDescent="0.25">
      <c r="B21" s="13" t="s">
        <v>39</v>
      </c>
      <c r="C21" s="9">
        <v>1</v>
      </c>
      <c r="D21" s="9">
        <v>0</v>
      </c>
      <c r="E21" s="20">
        <v>0</v>
      </c>
      <c r="F21" s="20">
        <v>2.2022300000000001</v>
      </c>
      <c r="G21" s="20">
        <f t="shared" si="0"/>
        <v>2.2022300000000001</v>
      </c>
      <c r="I21" s="23"/>
      <c r="J21" s="23"/>
      <c r="K21" s="23"/>
    </row>
    <row r="22" spans="2:11" x14ac:dyDescent="0.25">
      <c r="B22" s="13" t="s">
        <v>55</v>
      </c>
      <c r="C22" s="9">
        <v>1</v>
      </c>
      <c r="D22" s="9">
        <v>32</v>
      </c>
      <c r="E22" s="20">
        <v>0.65512400000000004</v>
      </c>
      <c r="F22" s="20">
        <v>0</v>
      </c>
      <c r="G22" s="20">
        <f t="shared" si="0"/>
        <v>0.65512400000000004</v>
      </c>
      <c r="I22" s="23"/>
      <c r="J22" s="23"/>
      <c r="K22" s="23"/>
    </row>
    <row r="23" spans="2:11" x14ac:dyDescent="0.25">
      <c r="B23" s="11" t="s">
        <v>17</v>
      </c>
      <c r="C23" s="11">
        <v>42</v>
      </c>
      <c r="D23" s="11">
        <v>5730</v>
      </c>
      <c r="E23" s="22">
        <f>SUM(E6:E22)</f>
        <v>871.06235600000002</v>
      </c>
      <c r="F23" s="22">
        <f t="shared" ref="F23:G23" si="1">SUM(F6:F22)</f>
        <v>11112.114609</v>
      </c>
      <c r="G23" s="22">
        <f t="shared" si="1"/>
        <v>11983.176965000002</v>
      </c>
      <c r="I23" s="24"/>
      <c r="J23" s="24"/>
      <c r="K23" s="24"/>
    </row>
  </sheetData>
  <sortState xmlns:xlrd2="http://schemas.microsoft.com/office/spreadsheetml/2017/richdata2" ref="B7:G23">
    <sortCondition descending="1" ref="G7:G23"/>
  </sortState>
  <mergeCells count="3">
    <mergeCell ref="B2:G2"/>
    <mergeCell ref="B4:B5"/>
    <mergeCell ref="C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2:G22"/>
  <sheetViews>
    <sheetView workbookViewId="0">
      <selection activeCell="G6" sqref="G6"/>
    </sheetView>
  </sheetViews>
  <sheetFormatPr defaultRowHeight="15" x14ac:dyDescent="0.25"/>
  <cols>
    <col min="2" max="2" width="29.140625" customWidth="1"/>
    <col min="4" max="4" width="11.42578125" bestFit="1" customWidth="1"/>
    <col min="5" max="5" width="18.5703125" style="18" customWidth="1"/>
    <col min="7" max="7" width="18.7109375" customWidth="1"/>
  </cols>
  <sheetData>
    <row r="2" spans="2:7" ht="14.45" customHeight="1" x14ac:dyDescent="0.25">
      <c r="B2" s="37" t="s">
        <v>76</v>
      </c>
      <c r="C2" s="37"/>
      <c r="D2" s="37"/>
      <c r="E2" s="37"/>
    </row>
    <row r="3" spans="2:7" ht="14.45" x14ac:dyDescent="0.35">
      <c r="B3" s="12"/>
      <c r="C3" s="12"/>
      <c r="D3" s="12"/>
      <c r="E3" s="12"/>
    </row>
    <row r="4" spans="2:7" x14ac:dyDescent="0.25">
      <c r="B4" s="34" t="s">
        <v>56</v>
      </c>
      <c r="C4" s="34">
        <v>2022</v>
      </c>
      <c r="D4" s="34"/>
      <c r="E4" s="34"/>
    </row>
    <row r="5" spans="2:7" ht="30" x14ac:dyDescent="0.25">
      <c r="B5" s="34"/>
      <c r="C5" s="7" t="s">
        <v>0</v>
      </c>
      <c r="D5" s="8" t="s">
        <v>1</v>
      </c>
      <c r="E5" s="7" t="s">
        <v>77</v>
      </c>
    </row>
    <row r="6" spans="2:7" x14ac:dyDescent="0.25">
      <c r="B6" s="16" t="s">
        <v>64</v>
      </c>
      <c r="C6" s="9">
        <v>2</v>
      </c>
      <c r="D6" s="9">
        <v>1512</v>
      </c>
      <c r="E6" s="25">
        <v>8315.4559000000008</v>
      </c>
      <c r="G6" s="27"/>
    </row>
    <row r="7" spans="2:7" x14ac:dyDescent="0.25">
      <c r="B7" s="16" t="s">
        <v>60</v>
      </c>
      <c r="C7" s="9">
        <v>3</v>
      </c>
      <c r="D7" s="9">
        <v>1230</v>
      </c>
      <c r="E7" s="25">
        <v>1136.4341139999999</v>
      </c>
      <c r="G7" s="27"/>
    </row>
    <row r="8" spans="2:7" x14ac:dyDescent="0.25">
      <c r="B8" s="16" t="s">
        <v>69</v>
      </c>
      <c r="C8" s="9">
        <v>2</v>
      </c>
      <c r="D8" s="9">
        <v>604</v>
      </c>
      <c r="E8" s="25">
        <v>606.22636699999998</v>
      </c>
      <c r="G8" s="27"/>
    </row>
    <row r="9" spans="2:7" x14ac:dyDescent="0.25">
      <c r="B9" s="16" t="s">
        <v>65</v>
      </c>
      <c r="C9" s="9">
        <v>2</v>
      </c>
      <c r="D9" s="9">
        <v>770</v>
      </c>
      <c r="E9" s="25">
        <v>460.92327499999999</v>
      </c>
      <c r="G9" s="27"/>
    </row>
    <row r="10" spans="2:7" x14ac:dyDescent="0.25">
      <c r="B10" s="16" t="s">
        <v>67</v>
      </c>
      <c r="C10" s="9">
        <v>4</v>
      </c>
      <c r="D10" s="9">
        <v>897</v>
      </c>
      <c r="E10" s="25">
        <v>443.24390799999998</v>
      </c>
      <c r="G10" s="27"/>
    </row>
    <row r="11" spans="2:7" x14ac:dyDescent="0.25">
      <c r="B11" s="16" t="s">
        <v>63</v>
      </c>
      <c r="C11" s="9">
        <v>1</v>
      </c>
      <c r="D11" s="9">
        <v>40</v>
      </c>
      <c r="E11" s="25">
        <v>87.53</v>
      </c>
      <c r="G11" s="27"/>
    </row>
    <row r="12" spans="2:7" x14ac:dyDescent="0.25">
      <c r="B12" s="16" t="s">
        <v>58</v>
      </c>
      <c r="C12" s="9">
        <v>3</v>
      </c>
      <c r="D12" s="9">
        <v>220</v>
      </c>
      <c r="E12" s="25">
        <v>15.591561</v>
      </c>
      <c r="G12" s="27"/>
    </row>
    <row r="13" spans="2:7" x14ac:dyDescent="0.25">
      <c r="B13" s="16" t="s">
        <v>59</v>
      </c>
      <c r="C13" s="9">
        <v>2</v>
      </c>
      <c r="D13" s="9">
        <v>47</v>
      </c>
      <c r="E13" s="25">
        <v>15.098814000000001</v>
      </c>
      <c r="G13" s="27"/>
    </row>
    <row r="14" spans="2:7" x14ac:dyDescent="0.25">
      <c r="B14" s="16" t="s">
        <v>68</v>
      </c>
      <c r="C14" s="9">
        <v>1</v>
      </c>
      <c r="D14" s="9">
        <v>113</v>
      </c>
      <c r="E14" s="25">
        <v>14.85</v>
      </c>
      <c r="G14" s="27"/>
    </row>
    <row r="15" spans="2:7" x14ac:dyDescent="0.25">
      <c r="B15" s="16" t="s">
        <v>62</v>
      </c>
      <c r="C15" s="9">
        <v>1</v>
      </c>
      <c r="D15" s="9">
        <v>144</v>
      </c>
      <c r="E15" s="25">
        <v>8.4</v>
      </c>
      <c r="G15" s="27"/>
    </row>
    <row r="16" spans="2:7" x14ac:dyDescent="0.25">
      <c r="B16" s="16" t="s">
        <v>66</v>
      </c>
      <c r="C16" s="9">
        <v>1</v>
      </c>
      <c r="D16" s="9">
        <v>144</v>
      </c>
      <c r="E16" s="25">
        <v>7.7</v>
      </c>
      <c r="G16" s="27"/>
    </row>
    <row r="17" spans="2:7" x14ac:dyDescent="0.25">
      <c r="B17" s="16" t="s">
        <v>57</v>
      </c>
      <c r="C17" s="9">
        <v>1</v>
      </c>
      <c r="D17" s="9">
        <v>0</v>
      </c>
      <c r="E17" s="25">
        <v>0.66066899999999995</v>
      </c>
      <c r="G17" s="27"/>
    </row>
    <row r="18" spans="2:7" x14ac:dyDescent="0.25">
      <c r="B18" s="6" t="s">
        <v>17</v>
      </c>
      <c r="C18" s="6" t="s">
        <v>61</v>
      </c>
      <c r="D18" s="11" t="s">
        <v>61</v>
      </c>
      <c r="E18" s="26">
        <f>SUM(E6:E17)</f>
        <v>11112.114608000002</v>
      </c>
      <c r="G18" s="28"/>
    </row>
    <row r="20" spans="2:7" ht="14.45" x14ac:dyDescent="0.35">
      <c r="B20" s="17"/>
    </row>
    <row r="22" spans="2:7" x14ac:dyDescent="0.25">
      <c r="E22" s="19"/>
    </row>
  </sheetData>
  <sortState xmlns:xlrd2="http://schemas.microsoft.com/office/spreadsheetml/2017/richdata2" ref="B7:E18">
    <sortCondition descending="1" ref="E7:E18"/>
  </sortState>
  <mergeCells count="3">
    <mergeCell ref="B4:B5"/>
    <mergeCell ref="C4:E4"/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State</vt:lpstr>
      <vt:lpstr>By Industry</vt:lpstr>
      <vt:lpstr>By Location</vt:lpstr>
      <vt:lpstr>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Shaukhi Kie1211</cp:lastModifiedBy>
  <cp:lastPrinted>2023-02-17T01:07:46Z</cp:lastPrinted>
  <dcterms:created xsi:type="dcterms:W3CDTF">2014-12-05T01:30:12Z</dcterms:created>
  <dcterms:modified xsi:type="dcterms:W3CDTF">2024-11-27T01:19:19Z</dcterms:modified>
</cp:coreProperties>
</file>