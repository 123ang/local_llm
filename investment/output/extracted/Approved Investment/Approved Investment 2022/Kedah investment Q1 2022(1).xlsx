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9600" tabRatio="900" activeTab="2"/>
  </bookViews>
  <sheets>
    <sheet name="Kedah-By Sector" sheetId="1" r:id="rId1"/>
    <sheet name="Kedah-Tab Mfg by Ind" sheetId="8" r:id="rId2"/>
    <sheet name="Tab Svc(MIDA) by State" sheetId="9" r:id="rId3"/>
    <sheet name="Tab Mfg By Loc" sheetId="10" r:id="rId4"/>
    <sheet name="By State" sheetId="12" r:id="rId5"/>
    <sheet name="Listing Manf." sheetId="13" r:id="rId6"/>
    <sheet name="Listing Services" sheetId="14" r:id="rId7"/>
  </sheets>
  <definedNames>
    <definedName name="_xlnm.Print_Area" localSheetId="1">'Kedah-Tab Mfg by Ind'!$A$1:$G$16</definedName>
    <definedName name="_xlnm.Print_Area" localSheetId="3">'Tab Mfg By Loc'!$B$1:$H$15</definedName>
  </definedNames>
  <calcPr calcId="145621"/>
</workbook>
</file>

<file path=xl/calcChain.xml><?xml version="1.0" encoding="utf-8"?>
<calcChain xmlns="http://schemas.openxmlformats.org/spreadsheetml/2006/main">
  <c r="E11" i="8" l="1"/>
  <c r="D11" i="8"/>
  <c r="F10" i="8"/>
  <c r="F11" i="8" s="1"/>
  <c r="F9" i="8"/>
  <c r="F8" i="8"/>
  <c r="F7" i="8"/>
  <c r="F6" i="8"/>
  <c r="H7" i="1"/>
  <c r="F10" i="10" l="1"/>
  <c r="E10" i="10"/>
  <c r="G9" i="10"/>
  <c r="G8" i="10"/>
  <c r="G7" i="10"/>
  <c r="G6" i="10"/>
  <c r="G5" i="10"/>
  <c r="G10" i="10" s="1"/>
  <c r="G21" i="12"/>
  <c r="F21" i="12"/>
  <c r="E21" i="12"/>
  <c r="D21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21" i="12" s="1"/>
  <c r="G9" i="1" l="1"/>
  <c r="H9" i="1"/>
  <c r="F9" i="1"/>
  <c r="E9" i="1"/>
  <c r="D9" i="1"/>
</calcChain>
</file>

<file path=xl/sharedStrings.xml><?xml version="1.0" encoding="utf-8"?>
<sst xmlns="http://schemas.openxmlformats.org/spreadsheetml/2006/main" count="171" uniqueCount="103">
  <si>
    <t>Primary</t>
  </si>
  <si>
    <t>Services</t>
  </si>
  <si>
    <t>Grand Total</t>
  </si>
  <si>
    <t>Manufacturing</t>
  </si>
  <si>
    <t>No. of Projects</t>
  </si>
  <si>
    <t>Employment</t>
  </si>
  <si>
    <t>Domestic Investment             (RM)</t>
  </si>
  <si>
    <t>Foreign Investment         (RM)</t>
  </si>
  <si>
    <t>Sector</t>
  </si>
  <si>
    <t>Kedah</t>
  </si>
  <si>
    <t>Chemicals &amp; Chemical Products</t>
  </si>
  <si>
    <t>Food Manufacturing</t>
  </si>
  <si>
    <t>Electrical &amp; Electronics</t>
  </si>
  <si>
    <t>Kulim High Tech Ind. Park</t>
  </si>
  <si>
    <t>Sungai Petani</t>
  </si>
  <si>
    <t>Kulim IE</t>
  </si>
  <si>
    <t>Sungai Lalang (MIEL) IE</t>
  </si>
  <si>
    <t>Support Services</t>
  </si>
  <si>
    <t>Industry</t>
  </si>
  <si>
    <t>Number</t>
  </si>
  <si>
    <t>Domestic Investment</t>
  </si>
  <si>
    <t>Total Capital Investment</t>
  </si>
  <si>
    <t>Total</t>
  </si>
  <si>
    <t>Location</t>
  </si>
  <si>
    <t>No</t>
  </si>
  <si>
    <t>Total Employment</t>
  </si>
  <si>
    <t>Total Investment (RM)</t>
  </si>
  <si>
    <t>Domestics Investment
(RM)</t>
  </si>
  <si>
    <t>Foreign  Investment 
(RM)</t>
  </si>
  <si>
    <t>Domestic Investment             (RM Mill)</t>
  </si>
  <si>
    <t>Foreign Investment         (RM Mill)</t>
  </si>
  <si>
    <t>Total Investment              (RM Mill)</t>
  </si>
  <si>
    <t>(RM Mill)</t>
  </si>
  <si>
    <t>Foreign Investment      (RM Mill)</t>
  </si>
  <si>
    <t>Johor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</si>
  <si>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</si>
  <si>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</si>
  <si>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</si>
  <si>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</si>
  <si>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</si>
  <si>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</si>
  <si>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</si>
  <si>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</si>
  <si>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</si>
  <si>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</si>
  <si>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</si>
  <si>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</si>
  <si>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</si>
  <si>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Total Investment              (RM)</t>
  </si>
  <si>
    <t>-</t>
  </si>
  <si>
    <t>APPROVED PRIVATE INVESTMENT IN MANUFACTURING SECTORS BY STATE,  JAN-MARCH 2022</t>
  </si>
  <si>
    <t>Kuala Ketil</t>
  </si>
  <si>
    <t xml:space="preserve">Total </t>
  </si>
  <si>
    <t>MANUFACTURING PROJECTS APPROVED, JANUARY - MARCH, 2022 IN KEDAH BY INDUSTRY</t>
  </si>
  <si>
    <t>APPROVED PRIVATE INVESTMENTS IN VARIOUS ECONOMIC SECTORS IN KEDAH BY SECTOR, 
JANUARY-MARCH 2022</t>
  </si>
  <si>
    <t>Furniture &amp; Fixtures</t>
  </si>
  <si>
    <t>Miscellaneous</t>
  </si>
  <si>
    <t xml:space="preserve">SERVICES PROJECTS APPROVED, JANUARY - MARCH, 2022 IN KEDAH </t>
  </si>
  <si>
    <r>
      <t xml:space="preserve">LIST OF APPROVED MANUFACTURING PROJECTS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>, JANUARY-DECEMBER 2021</t>
    </r>
  </si>
  <si>
    <t>Obs</t>
  </si>
  <si>
    <t>Name</t>
  </si>
  <si>
    <t>Domestic Investment (RM Mil)</t>
  </si>
  <si>
    <t>Foreign Investment (RM Mil)</t>
  </si>
  <si>
    <t>Total Capital Investment (RM Mil)</t>
  </si>
  <si>
    <t>Country 1</t>
  </si>
  <si>
    <t>%</t>
  </si>
  <si>
    <t>Ultimate Country</t>
  </si>
  <si>
    <t>Product</t>
  </si>
  <si>
    <t>Osram Opto Semiconductors (Malaysia) Sdn. Bhd.</t>
  </si>
  <si>
    <t>Germany</t>
  </si>
  <si>
    <t>Austria</t>
  </si>
  <si>
    <t>Design,development and manufacture of wafer fabrication using 8 inch micro dimension of 10 micrometer(mm) and below</t>
  </si>
  <si>
    <t>BCM Electronics Corporation Sdn. Bhd.</t>
  </si>
  <si>
    <t>IOT (M2M) modules, parts and thereof</t>
  </si>
  <si>
    <t>Eurospan Furniture Sdn. Bhd.</t>
  </si>
  <si>
    <t>Wooden furnite and wooden furniture parts</t>
  </si>
  <si>
    <t>Halagel Plant (M) Sdn. Bhd.</t>
  </si>
  <si>
    <t>Soft gelatin capsules, cosmetics, &amp; personal care products</t>
  </si>
  <si>
    <t>HX Akulbintang Sdn. Bhd.</t>
  </si>
  <si>
    <t>Animal feed</t>
  </si>
  <si>
    <t>Perusahaan Sindi Sdn. Bhd.</t>
  </si>
  <si>
    <t>PVC floats, swimming caps &amp; wear and PVC cosmetic &amp; toiletry bags</t>
  </si>
  <si>
    <t xml:space="preserve">         MANUFACTURING PROJECTS APPROVED IN KEDAH, JANUARY - MARCH, 2022 BY LOCATION</t>
  </si>
  <si>
    <r>
      <t xml:space="preserve">LIST OF SERVICES PROJECTS APPROVED (UNDER MIDA'S PURVIEW) IN </t>
    </r>
    <r>
      <rPr>
        <b/>
        <sz val="11"/>
        <color rgb="FF0000FF"/>
        <rFont val="Calibri"/>
        <family val="2"/>
        <scheme val="minor"/>
      </rPr>
      <t>KEDAH</t>
    </r>
    <r>
      <rPr>
        <b/>
        <sz val="11"/>
        <color theme="1"/>
        <rFont val="Calibri"/>
        <family val="2"/>
        <scheme val="minor"/>
      </rPr>
      <t>, JANUARY -DECEMBER 2021</t>
    </r>
  </si>
  <si>
    <t>Domestic Investment (RM)</t>
  </si>
  <si>
    <t>Foreign Investment (RM)</t>
  </si>
  <si>
    <t>Total Capital Investment (RM)</t>
  </si>
  <si>
    <t>Location (Activity)</t>
  </si>
  <si>
    <t>Activity</t>
  </si>
  <si>
    <t>Energy ES Sdn. Bhd.</t>
  </si>
  <si>
    <t>Kulim</t>
  </si>
  <si>
    <t>Renewable energy (business) using solar</t>
  </si>
  <si>
    <t>KHTP Sterilisation Services Sdn. Bhd.</t>
  </si>
  <si>
    <t>Sterilisation services using ethylene oxide</t>
  </si>
  <si>
    <t>Renewable energy (own consumption/use) using solar</t>
  </si>
  <si>
    <t>Supportive Technology Sdn. Bhd.</t>
  </si>
  <si>
    <t>Megaready Steel Sdn. Bhd.</t>
  </si>
  <si>
    <t>Taipei</t>
  </si>
  <si>
    <t>Guan Xeng Industries (M) Sdn. Bhd.</t>
  </si>
  <si>
    <t>Lunas</t>
  </si>
  <si>
    <t>OSK Properties Sdn. Bhd.</t>
  </si>
  <si>
    <t>C-Mart 4 Sdn. Bhd.</t>
  </si>
  <si>
    <t>Jitra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</si>
</sst>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6">
    <xf numFmtId="0" fontId="0" fillId="0" borderId="0" xfId="0"/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/>
    </xf>
    <xf numFmtId="3" fontId="0" fillId="6" borderId="1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/>
    <xf numFmtId="43" fontId="0" fillId="0" borderId="0" xfId="1" applyFont="1"/>
    <xf numFmtId="0" fontId="1" fillId="4" borderId="1" xfId="0" applyFont="1" applyFill="1" applyBorder="1" applyAlignment="1">
      <alignment horizontal="center" vertical="top" wrapText="1"/>
    </xf>
    <xf numFmtId="43" fontId="1" fillId="4" borderId="1" xfId="1" applyFont="1" applyFill="1" applyBorder="1" applyAlignment="1">
      <alignment horizontal="center" vertical="top" wrapText="1"/>
    </xf>
    <xf numFmtId="0" fontId="0" fillId="0" borderId="7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8" xfId="0" applyBorder="1" applyAlignment="1">
      <alignment vertical="top" wrapText="1"/>
    </xf>
    <xf numFmtId="0" fontId="0" fillId="0" borderId="21" xfId="0" applyFont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/>
    <xf numFmtId="0" fontId="2" fillId="2" borderId="1" xfId="0" applyFont="1" applyFill="1" applyBorder="1" applyAlignment="1">
      <alignment horizontal="left" vertical="center"/>
    </xf>
    <xf numFmtId="4" fontId="2" fillId="2" borderId="1" xfId="0" applyNumberFormat="1" applyFont="1" applyFill="1" applyBorder="1"/>
    <xf numFmtId="3" fontId="5" fillId="0" borderId="1" xfId="0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4" fontId="0" fillId="0" borderId="10" xfId="0" applyNumberForma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top" wrapText="1"/>
    </xf>
    <xf numFmtId="0" fontId="0" fillId="0" borderId="17" xfId="0" applyFont="1" applyBorder="1" applyAlignment="1">
      <alignment horizontal="left" vertical="top" wrapText="1"/>
    </xf>
    <xf numFmtId="0" fontId="0" fillId="0" borderId="12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3" fontId="0" fillId="0" borderId="17" xfId="0" applyNumberFormat="1" applyFont="1" applyBorder="1" applyAlignment="1">
      <alignment horizontal="center" vertical="center" wrapText="1"/>
    </xf>
    <xf numFmtId="3" fontId="0" fillId="0" borderId="22" xfId="0" applyNumberFormat="1" applyFont="1" applyBorder="1" applyAlignment="1">
      <alignment horizontal="center" vertical="center" wrapText="1"/>
    </xf>
    <xf numFmtId="3" fontId="0" fillId="0" borderId="25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3" fontId="0" fillId="0" borderId="19" xfId="1" applyFont="1" applyBorder="1" applyAlignment="1">
      <alignment horizontal="center" vertical="center" wrapText="1"/>
    </xf>
    <xf numFmtId="43" fontId="0" fillId="0" borderId="15" xfId="1" applyFont="1" applyBorder="1" applyAlignment="1">
      <alignment horizontal="center" vertical="center" wrapText="1"/>
    </xf>
    <xf numFmtId="43" fontId="0" fillId="0" borderId="27" xfId="1" applyFont="1" applyBorder="1" applyAlignment="1">
      <alignment horizontal="center" vertical="center" wrapText="1"/>
    </xf>
    <xf numFmtId="43" fontId="0" fillId="0" borderId="20" xfId="1" applyFont="1" applyBorder="1" applyAlignment="1">
      <alignment vertical="center"/>
    </xf>
    <xf numFmtId="43" fontId="0" fillId="0" borderId="24" xfId="1" applyFont="1" applyBorder="1" applyAlignment="1">
      <alignment vertical="center"/>
    </xf>
    <xf numFmtId="43" fontId="0" fillId="0" borderId="28" xfId="1" applyFont="1" applyBorder="1" applyAlignment="1">
      <alignment vertical="center"/>
    </xf>
    <xf numFmtId="4" fontId="0" fillId="0" borderId="29" xfId="0" applyNumberFormat="1" applyBorder="1" applyAlignment="1">
      <alignment horizontal="center" vertical="center" wrapText="1"/>
    </xf>
    <xf numFmtId="4" fontId="0" fillId="0" borderId="31" xfId="0" applyNumberFormat="1" applyBorder="1" applyAlignment="1">
      <alignment horizontal="center" vertical="center" wrapText="1"/>
    </xf>
    <xf numFmtId="4" fontId="0" fillId="0" borderId="33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" fontId="0" fillId="0" borderId="30" xfId="0" applyNumberFormat="1" applyBorder="1" applyAlignment="1">
      <alignment horizontal="center" vertical="center" wrapText="1"/>
    </xf>
    <xf numFmtId="4" fontId="0" fillId="0" borderId="0" xfId="0" applyNumberFormat="1" applyBorder="1" applyAlignment="1">
      <alignment horizontal="center" vertical="center" wrapText="1"/>
    </xf>
    <xf numFmtId="4" fontId="0" fillId="0" borderId="16" xfId="0" applyNumberForma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H9"/>
  <sheetViews>
    <sheetView workbookViewId="0">
      <selection activeCell="J7" sqref="J7"/>
    </sheetView>
  </sheetViews>
  <sheetFormatPr defaultRowHeight="15" x14ac:dyDescent="0.25"/>
  <cols>
    <col min="2" max="2" width="4.28515625" customWidth="1"/>
    <col min="3" max="3" width="19" bestFit="1" customWidth="1"/>
    <col min="4" max="4" width="12.140625" style="1" customWidth="1"/>
    <col min="5" max="5" width="12.28515625" style="1" bestFit="1" customWidth="1"/>
    <col min="6" max="6" width="15.85546875" style="1" customWidth="1"/>
    <col min="7" max="8" width="18.42578125" style="1" bestFit="1" customWidth="1"/>
  </cols>
  <sheetData>
    <row r="1" spans="2:8" ht="14.45" customHeight="1" x14ac:dyDescent="0.25">
      <c r="B1" s="67" t="s">
        <v>54</v>
      </c>
      <c r="C1" s="67"/>
      <c r="D1" s="67"/>
      <c r="E1" s="67"/>
      <c r="F1" s="67"/>
      <c r="G1" s="67"/>
      <c r="H1" s="67"/>
    </row>
    <row r="2" spans="2:8" ht="14.45" customHeight="1" x14ac:dyDescent="0.25">
      <c r="B2" s="67"/>
      <c r="C2" s="67"/>
      <c r="D2" s="67"/>
      <c r="E2" s="67"/>
      <c r="F2" s="67"/>
      <c r="G2" s="67"/>
      <c r="H2" s="67"/>
    </row>
    <row r="5" spans="2:8" ht="45" x14ac:dyDescent="0.25">
      <c r="B5" s="63" t="s">
        <v>8</v>
      </c>
      <c r="C5" s="64"/>
      <c r="D5" s="7" t="s">
        <v>4</v>
      </c>
      <c r="E5" s="7" t="s">
        <v>5</v>
      </c>
      <c r="F5" s="7" t="s">
        <v>29</v>
      </c>
      <c r="G5" s="7" t="s">
        <v>30</v>
      </c>
      <c r="H5" s="7" t="s">
        <v>31</v>
      </c>
    </row>
    <row r="6" spans="2:8" x14ac:dyDescent="0.25">
      <c r="B6" s="8"/>
      <c r="C6" s="3" t="s">
        <v>0</v>
      </c>
      <c r="D6" s="2">
        <v>0</v>
      </c>
      <c r="E6" s="2">
        <v>0</v>
      </c>
      <c r="F6" s="17">
        <v>0</v>
      </c>
      <c r="G6" s="17">
        <v>0</v>
      </c>
      <c r="H6" s="17">
        <v>0</v>
      </c>
    </row>
    <row r="7" spans="2:8" x14ac:dyDescent="0.25">
      <c r="B7" s="4"/>
      <c r="C7" s="3" t="s">
        <v>3</v>
      </c>
      <c r="D7" s="29">
        <v>6</v>
      </c>
      <c r="E7" s="29">
        <v>1771</v>
      </c>
      <c r="F7" s="30">
        <v>247.312772</v>
      </c>
      <c r="G7" s="30">
        <v>8300</v>
      </c>
      <c r="H7" s="30">
        <f>F7+G7</f>
        <v>8547.3127719999993</v>
      </c>
    </row>
    <row r="8" spans="2:8" x14ac:dyDescent="0.25">
      <c r="B8" s="8"/>
      <c r="C8" s="3" t="s">
        <v>1</v>
      </c>
      <c r="D8" s="29">
        <v>38</v>
      </c>
      <c r="E8" s="29">
        <v>98</v>
      </c>
      <c r="F8" s="30">
        <v>271.22000000000003</v>
      </c>
      <c r="G8" s="30">
        <v>0.21525</v>
      </c>
      <c r="H8" s="30">
        <v>271.44</v>
      </c>
    </row>
    <row r="9" spans="2:8" ht="15.75" x14ac:dyDescent="0.25">
      <c r="B9" s="65" t="s">
        <v>2</v>
      </c>
      <c r="C9" s="66"/>
      <c r="D9" s="5">
        <f>SUM(D6:D8)</f>
        <v>44</v>
      </c>
      <c r="E9" s="5">
        <f>SUM(E6:E8)</f>
        <v>1869</v>
      </c>
      <c r="F9" s="18">
        <f>SUM(F6:F8)</f>
        <v>518.53277200000002</v>
      </c>
      <c r="G9" s="18">
        <f>SUM(G6:G8)</f>
        <v>8300.2152499999993</v>
      </c>
      <c r="H9" s="18">
        <f>SUM(H6:H8)</f>
        <v>8818.7527719999998</v>
      </c>
    </row>
  </sheetData>
  <sortState ref="C31:H46">
    <sortCondition descending="1" ref="G46"/>
  </sortState>
  <mergeCells count="3">
    <mergeCell ref="B5:C5"/>
    <mergeCell ref="B9:C9"/>
    <mergeCell ref="B1:H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2"/>
  <sheetViews>
    <sheetView view="pageBreakPreview" zoomScaleNormal="100" zoomScaleSheetLayoutView="100" workbookViewId="0">
      <selection activeCell="G10" sqref="G10"/>
    </sheetView>
  </sheetViews>
  <sheetFormatPr defaultRowHeight="15" x14ac:dyDescent="0.25"/>
  <cols>
    <col min="1" max="1" width="34.140625" customWidth="1"/>
    <col min="2" max="2" width="10.42578125" customWidth="1"/>
    <col min="3" max="3" width="13.28515625" customWidth="1"/>
    <col min="4" max="4" width="15.7109375" customWidth="1"/>
    <col min="5" max="5" width="16.42578125" customWidth="1"/>
    <col min="6" max="6" width="19" customWidth="1"/>
  </cols>
  <sheetData>
    <row r="1" spans="1:6" ht="28.5" customHeight="1" x14ac:dyDescent="0.25">
      <c r="A1" s="68" t="s">
        <v>53</v>
      </c>
      <c r="B1" s="68"/>
      <c r="C1" s="68"/>
      <c r="D1" s="68"/>
      <c r="E1" s="68"/>
      <c r="F1" s="68"/>
    </row>
    <row r="2" spans="1:6" ht="18" customHeight="1" x14ac:dyDescent="0.25">
      <c r="A2" s="41"/>
      <c r="B2" s="41"/>
      <c r="C2" s="41"/>
      <c r="D2" s="41"/>
      <c r="E2" s="41"/>
      <c r="F2" s="41"/>
    </row>
    <row r="3" spans="1:6" ht="16.5" thickBot="1" x14ac:dyDescent="0.3">
      <c r="A3" s="69"/>
      <c r="B3" s="69"/>
      <c r="C3" s="69"/>
      <c r="D3" s="69"/>
      <c r="E3" s="69"/>
      <c r="F3" s="69"/>
    </row>
    <row r="4" spans="1:6" ht="14.45" customHeight="1" x14ac:dyDescent="0.25">
      <c r="A4" s="70" t="s">
        <v>18</v>
      </c>
      <c r="B4" s="42" t="s">
        <v>19</v>
      </c>
      <c r="C4" s="72" t="s">
        <v>5</v>
      </c>
      <c r="D4" s="43" t="s">
        <v>20</v>
      </c>
      <c r="E4" s="72" t="s">
        <v>33</v>
      </c>
      <c r="F4" s="44" t="s">
        <v>21</v>
      </c>
    </row>
    <row r="5" spans="1:6" ht="28.5" customHeight="1" x14ac:dyDescent="0.25">
      <c r="A5" s="71"/>
      <c r="B5" s="45"/>
      <c r="C5" s="73"/>
      <c r="D5" s="46" t="s">
        <v>32</v>
      </c>
      <c r="E5" s="73"/>
      <c r="F5" s="47" t="s">
        <v>32</v>
      </c>
    </row>
    <row r="6" spans="1:6" ht="15.75" x14ac:dyDescent="0.25">
      <c r="A6" s="48" t="s">
        <v>12</v>
      </c>
      <c r="B6" s="52">
        <v>2</v>
      </c>
      <c r="C6" s="52">
        <v>1680</v>
      </c>
      <c r="D6" s="49">
        <v>184.73400000000001</v>
      </c>
      <c r="E6" s="49">
        <v>8300</v>
      </c>
      <c r="F6" s="49">
        <f>D6+E6</f>
        <v>8484.7340000000004</v>
      </c>
    </row>
    <row r="7" spans="1:6" ht="15.75" x14ac:dyDescent="0.25">
      <c r="A7" s="48" t="s">
        <v>55</v>
      </c>
      <c r="B7" s="52">
        <v>1</v>
      </c>
      <c r="C7" s="52">
        <v>10</v>
      </c>
      <c r="D7" s="49">
        <v>33.250999999999998</v>
      </c>
      <c r="E7" s="49">
        <v>0</v>
      </c>
      <c r="F7" s="49">
        <f t="shared" ref="F7:F10" si="0">D7+E7</f>
        <v>33.250999999999998</v>
      </c>
    </row>
    <row r="8" spans="1:6" ht="15.75" x14ac:dyDescent="0.25">
      <c r="A8" s="48" t="s">
        <v>10</v>
      </c>
      <c r="B8" s="52">
        <v>1</v>
      </c>
      <c r="C8" s="52">
        <v>46</v>
      </c>
      <c r="D8" s="49">
        <v>13.68</v>
      </c>
      <c r="E8" s="49">
        <v>0</v>
      </c>
      <c r="F8" s="49">
        <f t="shared" si="0"/>
        <v>13.68</v>
      </c>
    </row>
    <row r="9" spans="1:6" ht="15.75" x14ac:dyDescent="0.25">
      <c r="A9" s="48" t="s">
        <v>11</v>
      </c>
      <c r="B9" s="52">
        <v>1</v>
      </c>
      <c r="C9" s="52">
        <v>35</v>
      </c>
      <c r="D9" s="49">
        <v>8.8977719999999998</v>
      </c>
      <c r="E9" s="49">
        <v>0</v>
      </c>
      <c r="F9" s="49">
        <f t="shared" si="0"/>
        <v>8.8977719999999998</v>
      </c>
    </row>
    <row r="10" spans="1:6" ht="15.75" x14ac:dyDescent="0.25">
      <c r="A10" s="48" t="s">
        <v>56</v>
      </c>
      <c r="B10" s="52">
        <v>1</v>
      </c>
      <c r="C10" s="52">
        <v>0</v>
      </c>
      <c r="D10" s="49">
        <v>6.75</v>
      </c>
      <c r="E10" s="49">
        <v>0</v>
      </c>
      <c r="F10" s="49">
        <f t="shared" si="0"/>
        <v>6.75</v>
      </c>
    </row>
    <row r="11" spans="1:6" ht="15.75" x14ac:dyDescent="0.25">
      <c r="A11" s="50" t="s">
        <v>52</v>
      </c>
      <c r="B11" s="53">
        <v>6</v>
      </c>
      <c r="C11" s="53">
        <v>1771</v>
      </c>
      <c r="D11" s="51">
        <f>SUM(D6:D10)</f>
        <v>247.31277200000002</v>
      </c>
      <c r="E11" s="51">
        <f t="shared" ref="E11:F11" si="1">SUM(E6:E10)</f>
        <v>8300</v>
      </c>
      <c r="F11" s="51">
        <f t="shared" si="1"/>
        <v>8547.3127720000011</v>
      </c>
    </row>
    <row r="12" spans="1:6" x14ac:dyDescent="0.25">
      <c r="A12" s="9"/>
      <c r="B12" s="9"/>
    </row>
  </sheetData>
  <mergeCells count="5">
    <mergeCell ref="A1:F1"/>
    <mergeCell ref="A3:F3"/>
    <mergeCell ref="A4:A5"/>
    <mergeCell ref="C4:C5"/>
    <mergeCell ref="E4:E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I6"/>
  <sheetViews>
    <sheetView tabSelected="1" workbookViewId="0">
      <selection activeCell="J6" sqref="J6"/>
    </sheetView>
  </sheetViews>
  <sheetFormatPr defaultRowHeight="15" x14ac:dyDescent="0.25"/>
  <cols>
    <col min="2" max="2" width="18.28515625" customWidth="1"/>
    <col min="3" max="3" width="10.42578125" customWidth="1"/>
    <col min="4" max="6" width="17.7109375" customWidth="1"/>
    <col min="7" max="7" width="15.85546875" customWidth="1"/>
  </cols>
  <sheetData>
    <row r="1" spans="2:9" ht="30.75" customHeight="1" x14ac:dyDescent="0.25">
      <c r="B1" s="16"/>
      <c r="C1" s="16"/>
    </row>
    <row r="2" spans="2:9" ht="30.75" customHeight="1" x14ac:dyDescent="0.25">
      <c r="B2" s="16"/>
      <c r="C2" s="16"/>
      <c r="D2" s="67" t="s">
        <v>57</v>
      </c>
      <c r="E2" s="67"/>
      <c r="F2" s="67"/>
      <c r="G2" s="67"/>
      <c r="H2" s="67"/>
      <c r="I2" s="67"/>
    </row>
    <row r="5" spans="2:9" ht="60" customHeight="1" x14ac:dyDescent="0.25">
      <c r="B5" s="31"/>
      <c r="C5" s="7" t="s">
        <v>4</v>
      </c>
      <c r="D5" s="7" t="s">
        <v>5</v>
      </c>
      <c r="E5" s="7" t="s">
        <v>29</v>
      </c>
      <c r="F5" s="7" t="s">
        <v>30</v>
      </c>
      <c r="G5" s="7" t="s">
        <v>31</v>
      </c>
    </row>
    <row r="6" spans="2:9" ht="36" customHeight="1" x14ac:dyDescent="0.25">
      <c r="B6" s="19" t="s">
        <v>17</v>
      </c>
      <c r="C6" s="19">
        <v>11</v>
      </c>
      <c r="D6" s="19">
        <v>34</v>
      </c>
      <c r="E6" s="54">
        <v>102.63</v>
      </c>
      <c r="F6" s="54">
        <v>0.22</v>
      </c>
      <c r="G6" s="54">
        <v>102.84</v>
      </c>
    </row>
  </sheetData>
  <mergeCells count="1">
    <mergeCell ref="D2:I2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G10"/>
  <sheetViews>
    <sheetView view="pageBreakPreview" zoomScaleNormal="100" zoomScaleSheetLayoutView="100" workbookViewId="0">
      <selection activeCell="E14" sqref="E14"/>
    </sheetView>
  </sheetViews>
  <sheetFormatPr defaultColWidth="8.7109375" defaultRowHeight="15" x14ac:dyDescent="0.25"/>
  <cols>
    <col min="1" max="1" width="8.7109375" style="10"/>
    <col min="2" max="2" width="32.5703125" style="10" customWidth="1"/>
    <col min="3" max="3" width="9" style="10" customWidth="1"/>
    <col min="4" max="4" width="14.42578125" style="10" customWidth="1"/>
    <col min="5" max="5" width="17.28515625" style="10" customWidth="1"/>
    <col min="6" max="6" width="15.7109375" style="10" customWidth="1"/>
    <col min="7" max="7" width="17.85546875" style="10" customWidth="1"/>
    <col min="8" max="16384" width="8.7109375" style="10"/>
  </cols>
  <sheetData>
    <row r="1" spans="2:7" x14ac:dyDescent="0.25">
      <c r="B1" s="74"/>
      <c r="C1" s="74"/>
      <c r="D1" s="74"/>
      <c r="E1" s="74"/>
      <c r="F1" s="74"/>
      <c r="G1" s="74"/>
    </row>
    <row r="2" spans="2:7" x14ac:dyDescent="0.25">
      <c r="C2" s="10" t="s">
        <v>82</v>
      </c>
    </row>
    <row r="4" spans="2:7" s="15" customFormat="1" ht="45" x14ac:dyDescent="0.25">
      <c r="B4" s="13" t="s">
        <v>23</v>
      </c>
      <c r="C4" s="14" t="s">
        <v>24</v>
      </c>
      <c r="D4" s="14" t="s">
        <v>25</v>
      </c>
      <c r="E4" s="14" t="s">
        <v>27</v>
      </c>
      <c r="F4" s="14" t="s">
        <v>28</v>
      </c>
      <c r="G4" s="14" t="s">
        <v>26</v>
      </c>
    </row>
    <row r="5" spans="2:7" x14ac:dyDescent="0.25">
      <c r="B5" s="6" t="s">
        <v>13</v>
      </c>
      <c r="C5" s="2">
        <v>2</v>
      </c>
      <c r="D5" s="2">
        <v>1680</v>
      </c>
      <c r="E5" s="17">
        <v>184.73400000000001</v>
      </c>
      <c r="F5" s="17">
        <v>8300</v>
      </c>
      <c r="G5" s="17">
        <f>E5+F5</f>
        <v>8484.7340000000004</v>
      </c>
    </row>
    <row r="6" spans="2:7" x14ac:dyDescent="0.25">
      <c r="B6" s="6" t="s">
        <v>15</v>
      </c>
      <c r="C6" s="2">
        <v>1</v>
      </c>
      <c r="D6" s="2">
        <v>10</v>
      </c>
      <c r="E6" s="17">
        <v>33.250999999999998</v>
      </c>
      <c r="F6" s="17">
        <v>0</v>
      </c>
      <c r="G6" s="17">
        <f t="shared" ref="G6:G9" si="0">E6+F6</f>
        <v>33.250999999999998</v>
      </c>
    </row>
    <row r="7" spans="2:7" x14ac:dyDescent="0.25">
      <c r="B7" s="6" t="s">
        <v>16</v>
      </c>
      <c r="C7" s="2">
        <v>1</v>
      </c>
      <c r="D7" s="2">
        <v>46</v>
      </c>
      <c r="E7" s="17">
        <v>13.68</v>
      </c>
      <c r="F7" s="17">
        <v>0</v>
      </c>
      <c r="G7" s="17">
        <f t="shared" si="0"/>
        <v>13.68</v>
      </c>
    </row>
    <row r="8" spans="2:7" x14ac:dyDescent="0.25">
      <c r="B8" s="6" t="s">
        <v>51</v>
      </c>
      <c r="C8" s="2">
        <v>1</v>
      </c>
      <c r="D8" s="2">
        <v>35</v>
      </c>
      <c r="E8" s="17">
        <v>8.8977719999999998</v>
      </c>
      <c r="F8" s="17">
        <v>0</v>
      </c>
      <c r="G8" s="17">
        <f t="shared" si="0"/>
        <v>8.8977719999999998</v>
      </c>
    </row>
    <row r="9" spans="2:7" x14ac:dyDescent="0.25">
      <c r="B9" s="6" t="s">
        <v>14</v>
      </c>
      <c r="C9" s="2">
        <v>1</v>
      </c>
      <c r="D9" s="2">
        <v>0</v>
      </c>
      <c r="E9" s="17">
        <v>6.75</v>
      </c>
      <c r="F9" s="17"/>
      <c r="G9" s="17">
        <f t="shared" si="0"/>
        <v>6.75</v>
      </c>
    </row>
    <row r="10" spans="2:7" x14ac:dyDescent="0.25">
      <c r="B10" s="11" t="s">
        <v>22</v>
      </c>
      <c r="C10" s="12">
        <v>6</v>
      </c>
      <c r="D10" s="12">
        <v>1771</v>
      </c>
      <c r="E10" s="20">
        <f>SUM(E5:E9)</f>
        <v>247.31277200000002</v>
      </c>
      <c r="F10" s="20">
        <f t="shared" ref="F10:G10" si="1">SUM(F5:F9)</f>
        <v>8300</v>
      </c>
      <c r="G10" s="20">
        <f t="shared" si="1"/>
        <v>8547.3127720000011</v>
      </c>
    </row>
  </sheetData>
  <mergeCells count="1">
    <mergeCell ref="B1:G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workbookViewId="0">
      <selection activeCell="K17" sqref="K17"/>
    </sheetView>
  </sheetViews>
  <sheetFormatPr defaultRowHeight="15" x14ac:dyDescent="0.25"/>
  <cols>
    <col min="2" max="2" width="0.5703125" customWidth="1"/>
    <col min="3" max="3" width="21.7109375" customWidth="1"/>
    <col min="4" max="4" width="14.7109375" customWidth="1"/>
    <col min="5" max="5" width="14.28515625" customWidth="1"/>
    <col min="6" max="6" width="17" customWidth="1"/>
    <col min="7" max="7" width="18" customWidth="1"/>
    <col min="8" max="8" width="19.7109375" customWidth="1"/>
  </cols>
  <sheetData>
    <row r="2" spans="2:8" x14ac:dyDescent="0.25">
      <c r="C2" t="s">
        <v>50</v>
      </c>
    </row>
    <row r="4" spans="2:8" x14ac:dyDescent="0.25">
      <c r="D4" s="1"/>
      <c r="E4" s="1"/>
      <c r="F4" s="1"/>
      <c r="G4" s="1"/>
      <c r="H4" s="1"/>
    </row>
    <row r="5" spans="2:8" ht="61.5" customHeight="1" x14ac:dyDescent="0.25">
      <c r="B5" s="75"/>
      <c r="C5" s="76"/>
      <c r="D5" s="21" t="s">
        <v>4</v>
      </c>
      <c r="E5" s="21" t="s">
        <v>5</v>
      </c>
      <c r="F5" s="21" t="s">
        <v>6</v>
      </c>
      <c r="G5" s="21" t="s">
        <v>7</v>
      </c>
      <c r="H5" s="21" t="s">
        <v>48</v>
      </c>
    </row>
    <row r="6" spans="2:8" x14ac:dyDescent="0.25">
      <c r="B6" s="22" t="s">
        <v>9</v>
      </c>
      <c r="C6" s="22" t="s">
        <v>9</v>
      </c>
      <c r="D6" s="23">
        <v>6</v>
      </c>
      <c r="E6" s="23">
        <v>1771</v>
      </c>
      <c r="F6" s="24">
        <v>247.312772</v>
      </c>
      <c r="G6" s="24">
        <v>8300</v>
      </c>
      <c r="H6" s="24">
        <f>F6+G6</f>
        <v>8547.3127719999993</v>
      </c>
    </row>
    <row r="7" spans="2:8" x14ac:dyDescent="0.25">
      <c r="B7" s="3" t="s">
        <v>41</v>
      </c>
      <c r="C7" s="3" t="s">
        <v>41</v>
      </c>
      <c r="D7" s="2">
        <v>34</v>
      </c>
      <c r="E7" s="2">
        <v>8096</v>
      </c>
      <c r="F7" s="17">
        <v>876.48516600000005</v>
      </c>
      <c r="G7" s="17">
        <v>5456.8225199999997</v>
      </c>
      <c r="H7" s="25">
        <f t="shared" ref="H7:H18" si="0">F7+G7</f>
        <v>6333.3076860000001</v>
      </c>
    </row>
    <row r="8" spans="2:8" x14ac:dyDescent="0.25">
      <c r="B8" s="3" t="s">
        <v>42</v>
      </c>
      <c r="C8" s="3" t="s">
        <v>42</v>
      </c>
      <c r="D8" s="2">
        <v>4</v>
      </c>
      <c r="E8" s="2">
        <v>843</v>
      </c>
      <c r="F8" s="17">
        <v>74.409983999999994</v>
      </c>
      <c r="G8" s="17">
        <v>5069.84</v>
      </c>
      <c r="H8" s="25">
        <f t="shared" si="0"/>
        <v>5144.249984</v>
      </c>
    </row>
    <row r="9" spans="2:8" x14ac:dyDescent="0.25">
      <c r="B9" s="3" t="s">
        <v>44</v>
      </c>
      <c r="C9" s="3" t="s">
        <v>44</v>
      </c>
      <c r="D9" s="2">
        <v>72</v>
      </c>
      <c r="E9" s="2">
        <v>3019</v>
      </c>
      <c r="F9" s="17">
        <v>856.89987099999996</v>
      </c>
      <c r="G9" s="17">
        <v>2411.2564419999999</v>
      </c>
      <c r="H9" s="25">
        <f t="shared" si="0"/>
        <v>3268.156313</v>
      </c>
    </row>
    <row r="10" spans="2:8" x14ac:dyDescent="0.25">
      <c r="B10" s="3" t="s">
        <v>36</v>
      </c>
      <c r="C10" s="3" t="s">
        <v>36</v>
      </c>
      <c r="D10" s="2">
        <v>11</v>
      </c>
      <c r="E10" s="2">
        <v>558</v>
      </c>
      <c r="F10" s="17">
        <v>319.86075299999999</v>
      </c>
      <c r="G10" s="17">
        <v>2251.4637499999999</v>
      </c>
      <c r="H10" s="25">
        <f t="shared" si="0"/>
        <v>2571.3245029999998</v>
      </c>
    </row>
    <row r="11" spans="2:8" x14ac:dyDescent="0.25">
      <c r="B11" s="3" t="s">
        <v>34</v>
      </c>
      <c r="C11" s="3" t="s">
        <v>34</v>
      </c>
      <c r="D11" s="2">
        <v>32</v>
      </c>
      <c r="E11" s="2">
        <v>2896</v>
      </c>
      <c r="F11" s="17">
        <v>547.73156600000004</v>
      </c>
      <c r="G11" s="17">
        <v>1689.288335</v>
      </c>
      <c r="H11" s="25">
        <f t="shared" si="0"/>
        <v>2237.0199010000001</v>
      </c>
    </row>
    <row r="12" spans="2:8" x14ac:dyDescent="0.25">
      <c r="B12" s="3" t="s">
        <v>35</v>
      </c>
      <c r="C12" s="3" t="s">
        <v>35</v>
      </c>
      <c r="D12" s="2">
        <v>1</v>
      </c>
      <c r="E12" s="2">
        <v>352</v>
      </c>
      <c r="F12" s="17">
        <v>0</v>
      </c>
      <c r="G12" s="17">
        <v>910.44</v>
      </c>
      <c r="H12" s="25">
        <f t="shared" si="0"/>
        <v>910.44</v>
      </c>
    </row>
    <row r="13" spans="2:8" x14ac:dyDescent="0.25">
      <c r="B13" s="3" t="s">
        <v>39</v>
      </c>
      <c r="C13" s="3" t="s">
        <v>39</v>
      </c>
      <c r="D13" s="2">
        <v>12</v>
      </c>
      <c r="E13" s="2">
        <v>3591</v>
      </c>
      <c r="F13" s="17">
        <v>57.962792</v>
      </c>
      <c r="G13" s="17">
        <v>602.72484699999995</v>
      </c>
      <c r="H13" s="25">
        <f t="shared" si="0"/>
        <v>660.68763899999999</v>
      </c>
    </row>
    <row r="14" spans="2:8" x14ac:dyDescent="0.25">
      <c r="B14" s="3" t="s">
        <v>37</v>
      </c>
      <c r="C14" s="3" t="s">
        <v>37</v>
      </c>
      <c r="D14" s="2">
        <v>6</v>
      </c>
      <c r="E14" s="2">
        <v>451</v>
      </c>
      <c r="F14" s="17">
        <v>121.508144</v>
      </c>
      <c r="G14" s="17">
        <v>72.025999999999996</v>
      </c>
      <c r="H14" s="25">
        <f t="shared" si="0"/>
        <v>193.534144</v>
      </c>
    </row>
    <row r="15" spans="2:8" x14ac:dyDescent="0.25">
      <c r="B15" s="3" t="s">
        <v>46</v>
      </c>
      <c r="C15" s="3" t="s">
        <v>46</v>
      </c>
      <c r="D15" s="2">
        <v>2</v>
      </c>
      <c r="E15" s="2">
        <v>16</v>
      </c>
      <c r="F15" s="17">
        <v>16.461876</v>
      </c>
      <c r="G15" s="17">
        <v>33.816203999999999</v>
      </c>
      <c r="H15" s="25">
        <f t="shared" si="0"/>
        <v>50.278080000000003</v>
      </c>
    </row>
    <row r="16" spans="2:8" x14ac:dyDescent="0.25">
      <c r="B16" s="3" t="s">
        <v>38</v>
      </c>
      <c r="C16" s="3" t="s">
        <v>38</v>
      </c>
      <c r="D16" s="2">
        <v>1</v>
      </c>
      <c r="E16" s="2">
        <v>23</v>
      </c>
      <c r="F16" s="17">
        <v>24.816559999999999</v>
      </c>
      <c r="G16" s="17">
        <v>0</v>
      </c>
      <c r="H16" s="25">
        <f t="shared" si="0"/>
        <v>24.816559999999999</v>
      </c>
    </row>
    <row r="17" spans="2:8" x14ac:dyDescent="0.25">
      <c r="B17" s="3" t="s">
        <v>43</v>
      </c>
      <c r="C17" s="3" t="s">
        <v>43</v>
      </c>
      <c r="D17" s="2">
        <v>1</v>
      </c>
      <c r="E17" s="2">
        <v>50</v>
      </c>
      <c r="F17" s="17">
        <v>10.631</v>
      </c>
      <c r="G17" s="17">
        <v>0</v>
      </c>
      <c r="H17" s="25">
        <f t="shared" si="0"/>
        <v>10.631</v>
      </c>
    </row>
    <row r="18" spans="2:8" x14ac:dyDescent="0.25">
      <c r="B18" s="3" t="s">
        <v>45</v>
      </c>
      <c r="C18" s="3" t="s">
        <v>45</v>
      </c>
      <c r="D18" s="2">
        <v>2</v>
      </c>
      <c r="E18" s="2">
        <v>0</v>
      </c>
      <c r="F18" s="17">
        <v>7.1986330000000001</v>
      </c>
      <c r="G18" s="17">
        <v>0</v>
      </c>
      <c r="H18" s="25">
        <f t="shared" si="0"/>
        <v>7.1986330000000001</v>
      </c>
    </row>
    <row r="19" spans="2:8" x14ac:dyDescent="0.25">
      <c r="B19" s="3" t="s">
        <v>40</v>
      </c>
      <c r="C19" s="3" t="s">
        <v>40</v>
      </c>
      <c r="D19" s="2" t="s">
        <v>49</v>
      </c>
      <c r="E19" s="2" t="s">
        <v>49</v>
      </c>
      <c r="F19" s="17" t="s">
        <v>49</v>
      </c>
      <c r="G19" s="17" t="s">
        <v>49</v>
      </c>
      <c r="H19" s="17" t="s">
        <v>49</v>
      </c>
    </row>
    <row r="20" spans="2:8" x14ac:dyDescent="0.25">
      <c r="B20" s="3" t="s">
        <v>47</v>
      </c>
      <c r="C20" s="3" t="s">
        <v>47</v>
      </c>
      <c r="D20" s="2" t="s">
        <v>49</v>
      </c>
      <c r="E20" s="2" t="s">
        <v>49</v>
      </c>
      <c r="F20" s="17" t="s">
        <v>49</v>
      </c>
      <c r="G20" s="17" t="s">
        <v>49</v>
      </c>
      <c r="H20" s="17" t="s">
        <v>49</v>
      </c>
    </row>
    <row r="21" spans="2:8" ht="24.75" customHeight="1" x14ac:dyDescent="0.25">
      <c r="B21" s="26" t="s">
        <v>22</v>
      </c>
      <c r="C21" s="26" t="s">
        <v>22</v>
      </c>
      <c r="D21" s="27">
        <f>SUM(D6:D20)</f>
        <v>184</v>
      </c>
      <c r="E21" s="27">
        <f t="shared" ref="E21:H21" si="1">SUM(E6:E20)</f>
        <v>21666</v>
      </c>
      <c r="F21" s="28">
        <f t="shared" si="1"/>
        <v>3161.2791169999996</v>
      </c>
      <c r="G21" s="28">
        <f t="shared" si="1"/>
        <v>26797.678097999997</v>
      </c>
      <c r="H21" s="28">
        <f t="shared" si="1"/>
        <v>29958.957214999999</v>
      </c>
    </row>
    <row r="22" spans="2:8" x14ac:dyDescent="0.25">
      <c r="D22" s="1"/>
      <c r="E22" s="1"/>
      <c r="F22" s="1"/>
      <c r="G22" s="1"/>
      <c r="H22" s="1"/>
    </row>
  </sheetData>
  <mergeCells count="1">
    <mergeCell ref="B5:C5"/>
  </mergeCells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1"/>
  <sheetViews>
    <sheetView topLeftCell="A5" workbookViewId="0">
      <selection activeCell="J6" sqref="J6"/>
    </sheetView>
  </sheetViews>
  <sheetFormatPr defaultRowHeight="15" x14ac:dyDescent="0.25"/>
  <cols>
    <col min="3" max="3" width="21.42578125" customWidth="1"/>
    <col min="4" max="4" width="14" customWidth="1"/>
    <col min="5" max="5" width="17.28515625" customWidth="1"/>
    <col min="6" max="6" width="17.42578125" customWidth="1"/>
    <col min="7" max="7" width="17.5703125" customWidth="1"/>
    <col min="8" max="8" width="19.28515625" customWidth="1"/>
    <col min="9" max="9" width="10.28515625" customWidth="1"/>
    <col min="11" max="11" width="11" customWidth="1"/>
    <col min="12" max="12" width="32.7109375" customWidth="1"/>
  </cols>
  <sheetData>
    <row r="3" spans="2:12" x14ac:dyDescent="0.25">
      <c r="B3" s="32" t="s">
        <v>58</v>
      </c>
      <c r="C3" s="32"/>
      <c r="E3" s="33"/>
      <c r="F3" s="33"/>
      <c r="G3" s="33"/>
    </row>
    <row r="4" spans="2:12" x14ac:dyDescent="0.25">
      <c r="E4" s="33"/>
      <c r="F4" s="33"/>
      <c r="G4" s="33"/>
    </row>
    <row r="5" spans="2:12" ht="57.75" customHeight="1" x14ac:dyDescent="0.25">
      <c r="B5" s="34" t="s">
        <v>59</v>
      </c>
      <c r="C5" s="34" t="s">
        <v>60</v>
      </c>
      <c r="D5" s="34" t="s">
        <v>25</v>
      </c>
      <c r="E5" s="35" t="s">
        <v>61</v>
      </c>
      <c r="F5" s="35" t="s">
        <v>62</v>
      </c>
      <c r="G5" s="35" t="s">
        <v>63</v>
      </c>
      <c r="H5" s="34" t="s">
        <v>23</v>
      </c>
      <c r="I5" s="34" t="s">
        <v>64</v>
      </c>
      <c r="J5" s="34" t="s">
        <v>65</v>
      </c>
      <c r="K5" s="34" t="s">
        <v>66</v>
      </c>
      <c r="L5" s="34" t="s">
        <v>67</v>
      </c>
    </row>
    <row r="6" spans="2:12" ht="77.25" customHeight="1" x14ac:dyDescent="0.25">
      <c r="B6" s="36">
        <v>1</v>
      </c>
      <c r="C6" s="37" t="s">
        <v>68</v>
      </c>
      <c r="D6" s="77">
        <v>1771</v>
      </c>
      <c r="E6" s="80">
        <v>247.31</v>
      </c>
      <c r="F6" s="83">
        <v>8300</v>
      </c>
      <c r="G6" s="86">
        <v>8547.31</v>
      </c>
      <c r="H6" s="37" t="s">
        <v>13</v>
      </c>
      <c r="I6" s="38" t="s">
        <v>69</v>
      </c>
      <c r="J6" s="62">
        <v>100</v>
      </c>
      <c r="K6" s="38" t="s">
        <v>70</v>
      </c>
      <c r="L6" s="37" t="s">
        <v>71</v>
      </c>
    </row>
    <row r="7" spans="2:12" ht="44.25" customHeight="1" x14ac:dyDescent="0.25">
      <c r="B7" s="39">
        <v>2</v>
      </c>
      <c r="C7" s="37" t="s">
        <v>72</v>
      </c>
      <c r="D7" s="78"/>
      <c r="E7" s="81"/>
      <c r="F7" s="84"/>
      <c r="G7" s="87"/>
      <c r="H7" s="37" t="s">
        <v>13</v>
      </c>
      <c r="I7" s="40"/>
      <c r="J7" s="40"/>
      <c r="K7" s="40"/>
      <c r="L7" s="37" t="s">
        <v>73</v>
      </c>
    </row>
    <row r="8" spans="2:12" ht="44.25" customHeight="1" x14ac:dyDescent="0.25">
      <c r="B8" s="39">
        <v>3</v>
      </c>
      <c r="C8" s="37" t="s">
        <v>74</v>
      </c>
      <c r="D8" s="78"/>
      <c r="E8" s="81"/>
      <c r="F8" s="84"/>
      <c r="G8" s="87"/>
      <c r="H8" s="37" t="s">
        <v>15</v>
      </c>
      <c r="I8" s="40"/>
      <c r="J8" s="40"/>
      <c r="K8" s="40"/>
      <c r="L8" s="37" t="s">
        <v>75</v>
      </c>
    </row>
    <row r="9" spans="2:12" ht="48.75" customHeight="1" x14ac:dyDescent="0.25">
      <c r="B9" s="39">
        <v>4</v>
      </c>
      <c r="C9" s="37" t="s">
        <v>76</v>
      </c>
      <c r="D9" s="78"/>
      <c r="E9" s="81"/>
      <c r="F9" s="84"/>
      <c r="G9" s="87"/>
      <c r="H9" s="37" t="s">
        <v>16</v>
      </c>
      <c r="I9" s="40"/>
      <c r="J9" s="40"/>
      <c r="K9" s="40"/>
      <c r="L9" s="37" t="s">
        <v>77</v>
      </c>
    </row>
    <row r="10" spans="2:12" ht="30" x14ac:dyDescent="0.25">
      <c r="B10" s="39">
        <v>5</v>
      </c>
      <c r="C10" s="37" t="s">
        <v>78</v>
      </c>
      <c r="D10" s="78"/>
      <c r="E10" s="81"/>
      <c r="F10" s="84"/>
      <c r="G10" s="87"/>
      <c r="H10" s="37" t="s">
        <v>51</v>
      </c>
      <c r="I10" s="40"/>
      <c r="J10" s="40"/>
      <c r="K10" s="40"/>
      <c r="L10" s="37" t="s">
        <v>79</v>
      </c>
    </row>
    <row r="11" spans="2:12" ht="53.25" customHeight="1" x14ac:dyDescent="0.25">
      <c r="B11" s="39">
        <v>6</v>
      </c>
      <c r="C11" s="37" t="s">
        <v>80</v>
      </c>
      <c r="D11" s="79"/>
      <c r="E11" s="82"/>
      <c r="F11" s="85"/>
      <c r="G11" s="88"/>
      <c r="H11" s="37" t="s">
        <v>14</v>
      </c>
      <c r="I11" s="40"/>
      <c r="J11" s="40"/>
      <c r="K11" s="40"/>
      <c r="L11" s="37" t="s">
        <v>81</v>
      </c>
    </row>
  </sheetData>
  <mergeCells count="4">
    <mergeCell ref="D6:D11"/>
    <mergeCell ref="E6:E11"/>
    <mergeCell ref="F6:F11"/>
    <mergeCell ref="G6:G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5"/>
  <sheetViews>
    <sheetView topLeftCell="A5" workbookViewId="0">
      <selection activeCell="F5" sqref="F5:F15"/>
    </sheetView>
  </sheetViews>
  <sheetFormatPr defaultRowHeight="15" x14ac:dyDescent="0.25"/>
  <cols>
    <col min="3" max="3" width="22.7109375" customWidth="1"/>
    <col min="4" max="4" width="12.7109375" style="9" customWidth="1"/>
    <col min="5" max="5" width="16" customWidth="1"/>
    <col min="6" max="6" width="15.7109375" customWidth="1"/>
    <col min="7" max="7" width="13.7109375" customWidth="1"/>
    <col min="8" max="8" width="18.42578125" customWidth="1"/>
    <col min="9" max="9" width="25" customWidth="1"/>
  </cols>
  <sheetData>
    <row r="2" spans="2:11" x14ac:dyDescent="0.25">
      <c r="B2" s="55" t="s">
        <v>83</v>
      </c>
      <c r="C2" s="56"/>
      <c r="D2" s="56"/>
      <c r="E2" s="56"/>
      <c r="F2" s="56"/>
      <c r="G2" s="56"/>
      <c r="H2" s="56"/>
      <c r="I2" s="56"/>
      <c r="J2" s="56"/>
      <c r="K2" s="56"/>
    </row>
    <row r="4" spans="2:11" ht="45" x14ac:dyDescent="0.25">
      <c r="B4" s="34" t="s">
        <v>59</v>
      </c>
      <c r="C4" s="34" t="s">
        <v>60</v>
      </c>
      <c r="D4" s="34" t="s">
        <v>25</v>
      </c>
      <c r="E4" s="34" t="s">
        <v>84</v>
      </c>
      <c r="F4" s="34" t="s">
        <v>85</v>
      </c>
      <c r="G4" s="34" t="s">
        <v>86</v>
      </c>
      <c r="H4" s="34" t="s">
        <v>87</v>
      </c>
      <c r="I4" s="34" t="s">
        <v>88</v>
      </c>
      <c r="J4" s="34" t="s">
        <v>64</v>
      </c>
      <c r="K4" s="34" t="s">
        <v>65</v>
      </c>
    </row>
    <row r="5" spans="2:11" ht="30" x14ac:dyDescent="0.25">
      <c r="B5" s="36">
        <v>1</v>
      </c>
      <c r="C5" s="37" t="s">
        <v>89</v>
      </c>
      <c r="D5" s="77">
        <v>34</v>
      </c>
      <c r="E5" s="89">
        <v>102.63</v>
      </c>
      <c r="F5" s="92">
        <v>0.22</v>
      </c>
      <c r="G5" s="93">
        <v>102.84</v>
      </c>
      <c r="H5" s="37" t="s">
        <v>90</v>
      </c>
      <c r="I5" s="37" t="s">
        <v>91</v>
      </c>
      <c r="J5" s="38"/>
      <c r="K5" s="38"/>
    </row>
    <row r="6" spans="2:11" ht="30" x14ac:dyDescent="0.25">
      <c r="B6" s="39">
        <v>2</v>
      </c>
      <c r="C6" s="37" t="s">
        <v>92</v>
      </c>
      <c r="D6" s="78"/>
      <c r="E6" s="90"/>
      <c r="F6" s="92"/>
      <c r="G6" s="94"/>
      <c r="H6" s="37" t="s">
        <v>13</v>
      </c>
      <c r="I6" s="37" t="s">
        <v>93</v>
      </c>
      <c r="J6" s="40"/>
      <c r="K6" s="40"/>
    </row>
    <row r="7" spans="2:11" ht="45" x14ac:dyDescent="0.25">
      <c r="B7" s="39">
        <v>4</v>
      </c>
      <c r="C7" s="37" t="s">
        <v>80</v>
      </c>
      <c r="D7" s="78"/>
      <c r="E7" s="90"/>
      <c r="F7" s="92"/>
      <c r="G7" s="94"/>
      <c r="H7" s="37" t="s">
        <v>14</v>
      </c>
      <c r="I7" s="37" t="s">
        <v>94</v>
      </c>
      <c r="J7" s="40"/>
      <c r="K7" s="40"/>
    </row>
    <row r="8" spans="2:11" ht="45" x14ac:dyDescent="0.25">
      <c r="B8" s="39">
        <v>5</v>
      </c>
      <c r="C8" s="37" t="s">
        <v>95</v>
      </c>
      <c r="D8" s="78"/>
      <c r="E8" s="90"/>
      <c r="F8" s="92"/>
      <c r="G8" s="94"/>
      <c r="H8" s="37" t="s">
        <v>14</v>
      </c>
      <c r="I8" s="37" t="s">
        <v>94</v>
      </c>
      <c r="J8" s="40"/>
      <c r="K8" s="40"/>
    </row>
    <row r="9" spans="2:11" ht="45" x14ac:dyDescent="0.25">
      <c r="B9" s="39">
        <v>6</v>
      </c>
      <c r="C9" s="37" t="s">
        <v>96</v>
      </c>
      <c r="D9" s="78"/>
      <c r="E9" s="90"/>
      <c r="F9" s="92"/>
      <c r="G9" s="94"/>
      <c r="H9" s="37" t="s">
        <v>14</v>
      </c>
      <c r="I9" s="37" t="s">
        <v>94</v>
      </c>
      <c r="J9" s="57" t="s">
        <v>97</v>
      </c>
      <c r="K9" s="57">
        <v>30</v>
      </c>
    </row>
    <row r="10" spans="2:11" ht="45" x14ac:dyDescent="0.25">
      <c r="B10" s="39">
        <v>7</v>
      </c>
      <c r="C10" s="37" t="s">
        <v>98</v>
      </c>
      <c r="D10" s="78"/>
      <c r="E10" s="90"/>
      <c r="F10" s="92"/>
      <c r="G10" s="94"/>
      <c r="H10" s="37" t="s">
        <v>99</v>
      </c>
      <c r="I10" s="37" t="s">
        <v>94</v>
      </c>
      <c r="J10" s="40"/>
      <c r="K10" s="40"/>
    </row>
    <row r="11" spans="2:11" ht="45" x14ac:dyDescent="0.25">
      <c r="B11" s="39">
        <v>9</v>
      </c>
      <c r="C11" s="37" t="s">
        <v>98</v>
      </c>
      <c r="D11" s="78"/>
      <c r="E11" s="90"/>
      <c r="F11" s="92"/>
      <c r="G11" s="94"/>
      <c r="H11" s="37" t="s">
        <v>99</v>
      </c>
      <c r="I11" s="37" t="s">
        <v>94</v>
      </c>
      <c r="J11" s="40"/>
      <c r="K11" s="40"/>
    </row>
    <row r="12" spans="2:11" ht="45" x14ac:dyDescent="0.25">
      <c r="B12" s="39">
        <v>10</v>
      </c>
      <c r="C12" s="37" t="s">
        <v>100</v>
      </c>
      <c r="D12" s="78"/>
      <c r="E12" s="90"/>
      <c r="F12" s="92"/>
      <c r="G12" s="94"/>
      <c r="H12" s="37" t="s">
        <v>14</v>
      </c>
      <c r="I12" s="37" t="s">
        <v>94</v>
      </c>
      <c r="J12" s="40"/>
      <c r="K12" s="40"/>
    </row>
    <row r="13" spans="2:11" ht="45" x14ac:dyDescent="0.25">
      <c r="B13" s="58">
        <v>11</v>
      </c>
      <c r="C13" s="59" t="s">
        <v>101</v>
      </c>
      <c r="D13" s="78"/>
      <c r="E13" s="90"/>
      <c r="F13" s="92"/>
      <c r="G13" s="94"/>
      <c r="H13" s="37" t="s">
        <v>102</v>
      </c>
      <c r="I13" s="37" t="s">
        <v>94</v>
      </c>
      <c r="J13" s="60"/>
      <c r="K13" s="60"/>
    </row>
    <row r="14" spans="2:11" ht="62.25" customHeight="1" x14ac:dyDescent="0.25">
      <c r="B14" s="61">
        <v>12</v>
      </c>
      <c r="C14" s="37" t="s">
        <v>95</v>
      </c>
      <c r="D14" s="78"/>
      <c r="E14" s="90"/>
      <c r="F14" s="92"/>
      <c r="G14" s="94"/>
      <c r="H14" s="37" t="s">
        <v>14</v>
      </c>
      <c r="I14" s="37" t="s">
        <v>94</v>
      </c>
      <c r="J14" s="31"/>
      <c r="K14" s="31"/>
    </row>
    <row r="15" spans="2:11" ht="65.25" customHeight="1" x14ac:dyDescent="0.25">
      <c r="B15" s="61">
        <v>13</v>
      </c>
      <c r="C15" s="37" t="s">
        <v>95</v>
      </c>
      <c r="D15" s="79"/>
      <c r="E15" s="91"/>
      <c r="F15" s="92"/>
      <c r="G15" s="95"/>
      <c r="H15" s="37" t="s">
        <v>14</v>
      </c>
      <c r="I15" s="37" t="s">
        <v>94</v>
      </c>
      <c r="J15" s="31"/>
      <c r="K15" s="31"/>
    </row>
  </sheetData>
  <mergeCells count="4">
    <mergeCell ref="E5:E15"/>
    <mergeCell ref="F5:F15"/>
    <mergeCell ref="G5:G15"/>
    <mergeCell ref="D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Kedah-By Sector</vt:lpstr>
      <vt:lpstr>Kedah-Tab Mfg by Ind</vt:lpstr>
      <vt:lpstr>Tab Svc(MIDA) by State</vt:lpstr>
      <vt:lpstr>Tab Mfg By Loc</vt:lpstr>
      <vt:lpstr>By State</vt:lpstr>
      <vt:lpstr>Listing Manf.</vt:lpstr>
      <vt:lpstr>Listing Services</vt:lpstr>
      <vt:lpstr>'Kedah-Tab Mfg by Ind'!Print_Area</vt:lpstr>
      <vt:lpstr>'Tab Mfg By Loc'!Print_Area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Pengarah MIDA Negeri</cp:lastModifiedBy>
  <cp:lastPrinted>2021-09-08T02:35:49Z</cp:lastPrinted>
  <dcterms:created xsi:type="dcterms:W3CDTF">2014-12-05T01:30:12Z</dcterms:created>
  <dcterms:modified xsi:type="dcterms:W3CDTF">2022-06-17T03:33:18Z</dcterms:modified>
</cp:coreProperties>
</file>