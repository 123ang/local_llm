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pproved Investment\Approved Investment\Approved Investment 2024\Approved Investment Q2 2024\"/>
    </mc:Choice>
  </mc:AlternateContent>
  <xr:revisionPtr revIDLastSave="0" documentId="8_{827E5910-3F37-490A-BB55-BCBF48E4D5C1}" xr6:coauthVersionLast="47" xr6:coauthVersionMax="47" xr10:uidLastSave="{00000000-0000-0000-0000-000000000000}"/>
  <bookViews>
    <workbookView xWindow="-108" yWindow="-108" windowWidth="23256" windowHeight="12456" xr2:uid="{9AA4D04A-D76C-4C69-B220-64DA462FA6FE}"/>
  </bookViews>
  <sheets>
    <sheet name="By Country" sheetId="4" r:id="rId1"/>
    <sheet name="Location" sheetId="3" r:id="rId2"/>
    <sheet name="By Indust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C7" i="2"/>
  <c r="D7" i="2"/>
  <c r="E7" i="2"/>
  <c r="F7" i="2"/>
  <c r="G7" i="2"/>
  <c r="G5" i="3"/>
  <c r="G6" i="3" s="1"/>
  <c r="C6" i="3"/>
  <c r="D6" i="3"/>
  <c r="E6" i="3"/>
  <c r="F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C21" i="3"/>
  <c r="C22" i="3" s="1"/>
  <c r="D21" i="3"/>
  <c r="D22" i="3" s="1"/>
  <c r="E21" i="3"/>
  <c r="E22" i="3" s="1"/>
  <c r="F21" i="3"/>
  <c r="F22" i="3" s="1"/>
  <c r="G21" i="3"/>
  <c r="C9" i="4"/>
  <c r="D9" i="4"/>
  <c r="E9" i="4"/>
  <c r="G22" i="3" l="1"/>
</calcChain>
</file>

<file path=xl/sharedStrings.xml><?xml version="1.0" encoding="utf-8"?>
<sst xmlns="http://schemas.openxmlformats.org/spreadsheetml/2006/main" count="55" uniqueCount="33">
  <si>
    <t>Support Services</t>
  </si>
  <si>
    <t>Singapore</t>
  </si>
  <si>
    <t>Hotel &amp; Tourism</t>
  </si>
  <si>
    <t>Japan</t>
  </si>
  <si>
    <t>Thailand</t>
  </si>
  <si>
    <t>No</t>
  </si>
  <si>
    <t>Country</t>
  </si>
  <si>
    <t>No.of Projects</t>
  </si>
  <si>
    <t>Employment</t>
  </si>
  <si>
    <t>Foreign Investment(RM)</t>
  </si>
  <si>
    <t>Industry</t>
  </si>
  <si>
    <t>Domestic Investment(RM)</t>
  </si>
  <si>
    <t>Total</t>
  </si>
  <si>
    <t>Projects Approved in Kedah By Industry , Q2 Jan - June 2024</t>
  </si>
  <si>
    <t>Bedong</t>
  </si>
  <si>
    <t>Kepala Batas</t>
  </si>
  <si>
    <t>Kulim Hi-Tech Ind Park</t>
  </si>
  <si>
    <t>Sungai Petani</t>
  </si>
  <si>
    <t>Kodiang</t>
  </si>
  <si>
    <t>Kuala Kedah</t>
  </si>
  <si>
    <t>Alor Setar</t>
  </si>
  <si>
    <t>Sungai  Petani IE</t>
  </si>
  <si>
    <t>Other Areas</t>
  </si>
  <si>
    <t>Mergong II IE</t>
  </si>
  <si>
    <t>Langkawi</t>
  </si>
  <si>
    <t>Pendang</t>
  </si>
  <si>
    <t>Jitra</t>
  </si>
  <si>
    <t>Location</t>
  </si>
  <si>
    <t>Support Service</t>
  </si>
  <si>
    <t>Total Investment(RM)</t>
  </si>
  <si>
    <t>Grand Total</t>
  </si>
  <si>
    <t>Projects Approved in Kedah By Location , Q2 Jan - June 2024</t>
  </si>
  <si>
    <t>Projects Approved in Kedah By Countru , Q2 Jan -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</si>
</sst>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/>
    </xf>
    <xf numFmtId="0" fontId="3" fillId="0" borderId="0" xfId="0" applyFont="1" applyAlignment="1"/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CBD6-6C76-41D0-AE48-BDDB5FD6DB11}">
  <dimension ref="A2:E9"/>
  <sheetViews>
    <sheetView tabSelected="1" workbookViewId="0">
      <selection activeCell="E18" sqref="E18"/>
    </sheetView>
  </sheetViews>
  <sheetFormatPr defaultRowHeight="14.4" x14ac:dyDescent="0.3"/>
  <cols>
    <col min="2" max="2" width="19.44140625" customWidth="1"/>
    <col min="3" max="3" width="22.109375" customWidth="1"/>
    <col min="4" max="4" width="17.33203125" customWidth="1"/>
    <col min="5" max="5" width="36.88671875" customWidth="1"/>
  </cols>
  <sheetData>
    <row r="2" spans="1:5" x14ac:dyDescent="0.3">
      <c r="A2" s="9" t="s">
        <v>32</v>
      </c>
    </row>
    <row r="3" spans="1:5" x14ac:dyDescent="0.3">
      <c r="A3" s="9"/>
    </row>
    <row r="5" spans="1:5" ht="28.5" customHeight="1" x14ac:dyDescent="0.3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x14ac:dyDescent="0.3">
      <c r="A6" s="6">
        <v>1</v>
      </c>
      <c r="B6" s="4" t="s">
        <v>1</v>
      </c>
      <c r="C6" s="5">
        <v>1</v>
      </c>
      <c r="D6" s="7">
        <v>25</v>
      </c>
      <c r="E6" s="7">
        <v>4823999.9999999991</v>
      </c>
    </row>
    <row r="7" spans="1:5" ht="22.5" customHeight="1" x14ac:dyDescent="0.3">
      <c r="A7" s="6">
        <v>2</v>
      </c>
      <c r="B7" s="4" t="s">
        <v>3</v>
      </c>
      <c r="C7" s="5">
        <v>2</v>
      </c>
      <c r="D7" s="7">
        <v>0</v>
      </c>
      <c r="E7" s="7">
        <v>8475000</v>
      </c>
    </row>
    <row r="8" spans="1:5" ht="30.75" customHeight="1" x14ac:dyDescent="0.3">
      <c r="A8" s="6">
        <v>3</v>
      </c>
      <c r="B8" s="4" t="s">
        <v>4</v>
      </c>
      <c r="C8" s="5">
        <v>1</v>
      </c>
      <c r="D8" s="7">
        <v>0</v>
      </c>
      <c r="E8" s="7">
        <v>23280</v>
      </c>
    </row>
    <row r="9" spans="1:5" x14ac:dyDescent="0.3">
      <c r="A9" s="10" t="s">
        <v>12</v>
      </c>
      <c r="B9" s="11"/>
      <c r="C9" s="2">
        <f>SUM(C6:C8)</f>
        <v>4</v>
      </c>
      <c r="D9" s="2">
        <f>SUM(D6:D8)</f>
        <v>25</v>
      </c>
      <c r="E9" s="2">
        <f>SUM(E6:E8)</f>
        <v>13322280</v>
      </c>
    </row>
  </sheetData>
  <mergeCells count="1"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31DA-4FB6-420D-A8A3-9F1664405067}">
  <dimension ref="A2:G23"/>
  <sheetViews>
    <sheetView workbookViewId="0">
      <selection activeCell="E23" sqref="E23"/>
    </sheetView>
  </sheetViews>
  <sheetFormatPr defaultRowHeight="14.4" x14ac:dyDescent="0.3"/>
  <cols>
    <col min="1" max="1" width="28.6640625" customWidth="1"/>
    <col min="2" max="2" width="24.5546875" customWidth="1"/>
    <col min="3" max="3" width="15.6640625" customWidth="1"/>
    <col min="4" max="4" width="20" customWidth="1"/>
    <col min="5" max="5" width="28.109375" customWidth="1"/>
    <col min="6" max="6" width="24.33203125" customWidth="1"/>
    <col min="7" max="7" width="32.5546875" customWidth="1"/>
  </cols>
  <sheetData>
    <row r="2" spans="1:7" x14ac:dyDescent="0.3">
      <c r="A2" s="9" t="s">
        <v>31</v>
      </c>
    </row>
    <row r="4" spans="1:7" ht="42.75" customHeight="1" x14ac:dyDescent="0.3">
      <c r="A4" s="2" t="s">
        <v>10</v>
      </c>
      <c r="B4" s="2" t="s">
        <v>27</v>
      </c>
      <c r="C4" s="2" t="s">
        <v>7</v>
      </c>
      <c r="D4" s="2" t="s">
        <v>8</v>
      </c>
      <c r="E4" s="2" t="s">
        <v>11</v>
      </c>
      <c r="F4" s="2" t="s">
        <v>9</v>
      </c>
      <c r="G4" s="2" t="s">
        <v>29</v>
      </c>
    </row>
    <row r="5" spans="1:7" x14ac:dyDescent="0.3">
      <c r="A5" s="6" t="s">
        <v>2</v>
      </c>
      <c r="B5" s="3" t="s">
        <v>17</v>
      </c>
      <c r="C5" s="6">
        <v>1</v>
      </c>
      <c r="D5" s="6">
        <v>54</v>
      </c>
      <c r="E5" s="8">
        <v>15894417</v>
      </c>
      <c r="F5" s="6">
        <v>0</v>
      </c>
      <c r="G5" s="8">
        <f>E5+F5</f>
        <v>15894417</v>
      </c>
    </row>
    <row r="6" spans="1:7" x14ac:dyDescent="0.3">
      <c r="A6" s="10" t="s">
        <v>12</v>
      </c>
      <c r="B6" s="11"/>
      <c r="C6" s="2">
        <f>SUM(C4:C5)</f>
        <v>1</v>
      </c>
      <c r="D6" s="2">
        <f>SUM(D4:D5)</f>
        <v>54</v>
      </c>
      <c r="E6" s="2">
        <f>SUM(E4:E5)</f>
        <v>15894417</v>
      </c>
      <c r="F6" s="2">
        <f>SUM(F4:F5)</f>
        <v>0</v>
      </c>
      <c r="G6" s="2">
        <f>SUM(G4:G5)</f>
        <v>15894417</v>
      </c>
    </row>
    <row r="7" spans="1:7" x14ac:dyDescent="0.3">
      <c r="A7" s="2" t="s">
        <v>10</v>
      </c>
      <c r="B7" s="2" t="s">
        <v>27</v>
      </c>
      <c r="C7" s="2" t="s">
        <v>7</v>
      </c>
      <c r="D7" s="2" t="s">
        <v>8</v>
      </c>
      <c r="E7" s="2" t="s">
        <v>11</v>
      </c>
      <c r="F7" s="2" t="s">
        <v>9</v>
      </c>
      <c r="G7" s="2" t="s">
        <v>29</v>
      </c>
    </row>
    <row r="8" spans="1:7" x14ac:dyDescent="0.3">
      <c r="A8" s="12" t="s">
        <v>28</v>
      </c>
      <c r="B8" s="3" t="s">
        <v>24</v>
      </c>
      <c r="C8" s="6">
        <v>1</v>
      </c>
      <c r="D8" s="6">
        <v>25</v>
      </c>
      <c r="E8" s="8">
        <v>115176000</v>
      </c>
      <c r="F8" s="8">
        <v>4824000</v>
      </c>
      <c r="G8" s="8">
        <f>E8+F8</f>
        <v>120000000</v>
      </c>
    </row>
    <row r="9" spans="1:7" x14ac:dyDescent="0.3">
      <c r="A9" s="12"/>
      <c r="B9" s="3" t="s">
        <v>25</v>
      </c>
      <c r="C9" s="6">
        <v>7</v>
      </c>
      <c r="D9" s="6">
        <v>3</v>
      </c>
      <c r="E9" s="8">
        <v>32048648</v>
      </c>
      <c r="F9" s="6">
        <v>0</v>
      </c>
      <c r="G9" s="8">
        <f t="shared" ref="G9:G20" si="0">E9+F9</f>
        <v>32048648</v>
      </c>
    </row>
    <row r="10" spans="1:7" x14ac:dyDescent="0.3">
      <c r="A10" s="12"/>
      <c r="B10" s="3" t="s">
        <v>26</v>
      </c>
      <c r="C10" s="6">
        <v>5</v>
      </c>
      <c r="D10" s="6">
        <v>0</v>
      </c>
      <c r="E10" s="8">
        <v>1688657</v>
      </c>
      <c r="F10" s="8">
        <v>5230000</v>
      </c>
      <c r="G10" s="8">
        <f t="shared" si="0"/>
        <v>6918657</v>
      </c>
    </row>
    <row r="11" spans="1:7" x14ac:dyDescent="0.3">
      <c r="A11" s="12"/>
      <c r="B11" s="3" t="s">
        <v>14</v>
      </c>
      <c r="C11" s="6">
        <v>1</v>
      </c>
      <c r="D11" s="6">
        <v>0</v>
      </c>
      <c r="E11" s="8">
        <v>6440575</v>
      </c>
      <c r="F11" s="6">
        <v>0</v>
      </c>
      <c r="G11" s="8">
        <f t="shared" si="0"/>
        <v>6440575</v>
      </c>
    </row>
    <row r="12" spans="1:7" x14ac:dyDescent="0.3">
      <c r="A12" s="12"/>
      <c r="B12" s="3" t="s">
        <v>15</v>
      </c>
      <c r="C12" s="6">
        <v>2</v>
      </c>
      <c r="D12" s="6">
        <v>0</v>
      </c>
      <c r="E12" s="8">
        <v>4608646</v>
      </c>
      <c r="F12" s="8">
        <v>0</v>
      </c>
      <c r="G12" s="8">
        <f t="shared" si="0"/>
        <v>4608646</v>
      </c>
    </row>
    <row r="13" spans="1:7" x14ac:dyDescent="0.3">
      <c r="A13" s="12"/>
      <c r="B13" s="3" t="s">
        <v>16</v>
      </c>
      <c r="C13" s="6">
        <v>1</v>
      </c>
      <c r="D13" s="6">
        <v>0</v>
      </c>
      <c r="E13" s="8">
        <v>0</v>
      </c>
      <c r="F13" s="8">
        <v>3245000</v>
      </c>
      <c r="G13" s="8">
        <f t="shared" si="0"/>
        <v>3245000</v>
      </c>
    </row>
    <row r="14" spans="1:7" x14ac:dyDescent="0.3">
      <c r="A14" s="12"/>
      <c r="B14" s="3" t="s">
        <v>17</v>
      </c>
      <c r="C14" s="6">
        <v>7</v>
      </c>
      <c r="D14" s="6">
        <v>0</v>
      </c>
      <c r="E14" s="8">
        <v>2777025</v>
      </c>
      <c r="F14" s="8">
        <v>23280</v>
      </c>
      <c r="G14" s="8">
        <f t="shared" si="0"/>
        <v>2800305</v>
      </c>
    </row>
    <row r="15" spans="1:7" x14ac:dyDescent="0.3">
      <c r="A15" s="12"/>
      <c r="B15" s="3" t="s">
        <v>18</v>
      </c>
      <c r="C15" s="6">
        <v>2</v>
      </c>
      <c r="D15" s="6">
        <v>0</v>
      </c>
      <c r="E15" s="8">
        <v>1379000</v>
      </c>
      <c r="F15" s="8">
        <v>0</v>
      </c>
      <c r="G15" s="8">
        <f t="shared" si="0"/>
        <v>1379000</v>
      </c>
    </row>
    <row r="16" spans="1:7" x14ac:dyDescent="0.3">
      <c r="A16" s="12"/>
      <c r="B16" s="3" t="s">
        <v>19</v>
      </c>
      <c r="C16" s="6">
        <v>1</v>
      </c>
      <c r="D16" s="6">
        <v>0</v>
      </c>
      <c r="E16" s="8">
        <v>716880</v>
      </c>
      <c r="F16" s="8">
        <v>0</v>
      </c>
      <c r="G16" s="8">
        <f t="shared" si="0"/>
        <v>716880</v>
      </c>
    </row>
    <row r="17" spans="1:7" x14ac:dyDescent="0.3">
      <c r="A17" s="12"/>
      <c r="B17" s="3" t="s">
        <v>20</v>
      </c>
      <c r="C17" s="6">
        <v>3</v>
      </c>
      <c r="D17" s="6">
        <v>0</v>
      </c>
      <c r="E17" s="8">
        <v>264930</v>
      </c>
      <c r="F17" s="8">
        <v>0</v>
      </c>
      <c r="G17" s="8">
        <f t="shared" si="0"/>
        <v>264930</v>
      </c>
    </row>
    <row r="18" spans="1:7" x14ac:dyDescent="0.3">
      <c r="A18" s="12"/>
      <c r="B18" s="3" t="s">
        <v>21</v>
      </c>
      <c r="C18" s="6">
        <v>1</v>
      </c>
      <c r="D18" s="6">
        <v>0</v>
      </c>
      <c r="E18" s="8">
        <v>140600</v>
      </c>
      <c r="F18" s="8">
        <v>0</v>
      </c>
      <c r="G18" s="8">
        <f t="shared" si="0"/>
        <v>140600</v>
      </c>
    </row>
    <row r="19" spans="1:7" x14ac:dyDescent="0.3">
      <c r="A19" s="12"/>
      <c r="B19" s="3" t="s">
        <v>22</v>
      </c>
      <c r="C19" s="6">
        <v>1</v>
      </c>
      <c r="D19" s="6">
        <v>0</v>
      </c>
      <c r="E19" s="8">
        <v>115000</v>
      </c>
      <c r="F19" s="8">
        <v>0</v>
      </c>
      <c r="G19" s="8">
        <f t="shared" si="0"/>
        <v>115000</v>
      </c>
    </row>
    <row r="20" spans="1:7" x14ac:dyDescent="0.3">
      <c r="A20" s="12"/>
      <c r="B20" s="3" t="s">
        <v>23</v>
      </c>
      <c r="C20" s="6">
        <v>1</v>
      </c>
      <c r="D20" s="6">
        <v>0</v>
      </c>
      <c r="E20" s="8">
        <v>37620</v>
      </c>
      <c r="F20" s="8">
        <v>0</v>
      </c>
      <c r="G20" s="8">
        <f t="shared" si="0"/>
        <v>37620</v>
      </c>
    </row>
    <row r="21" spans="1:7" x14ac:dyDescent="0.3">
      <c r="A21" s="10" t="s">
        <v>12</v>
      </c>
      <c r="B21" s="11"/>
      <c r="C21" s="2">
        <f>SUM(C8:C20)</f>
        <v>33</v>
      </c>
      <c r="D21" s="2">
        <f>SUM(D8:D20)</f>
        <v>28</v>
      </c>
      <c r="E21" s="2">
        <f>SUM(E8:E20)</f>
        <v>165393581</v>
      </c>
      <c r="F21" s="2">
        <f>SUM(F8:F20)</f>
        <v>13322280</v>
      </c>
      <c r="G21" s="2">
        <f>SUM(G8:G20)</f>
        <v>178715861</v>
      </c>
    </row>
    <row r="22" spans="1:7" x14ac:dyDescent="0.3">
      <c r="A22" s="10" t="s">
        <v>30</v>
      </c>
      <c r="B22" s="11"/>
      <c r="C22" s="2">
        <f>C21+C6</f>
        <v>34</v>
      </c>
      <c r="D22" s="2">
        <f>D21+D6</f>
        <v>82</v>
      </c>
      <c r="E22" s="2">
        <f>E21+E6</f>
        <v>181287998</v>
      </c>
      <c r="F22" s="2">
        <f>F21+F6</f>
        <v>13322280</v>
      </c>
      <c r="G22" s="2">
        <f>G21+G6</f>
        <v>194610278</v>
      </c>
    </row>
    <row r="23" spans="1:7" x14ac:dyDescent="0.3">
      <c r="E23" s="1"/>
      <c r="F23" s="1"/>
      <c r="G23" s="1"/>
    </row>
  </sheetData>
  <mergeCells count="4">
    <mergeCell ref="A6:B6"/>
    <mergeCell ref="A8:A20"/>
    <mergeCell ref="A21:B21"/>
    <mergeCell ref="A22:B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BE9A-935E-44D4-9B0F-20CB2EA28BE1}">
  <dimension ref="A2:G7"/>
  <sheetViews>
    <sheetView topLeftCell="B1" workbookViewId="0">
      <selection activeCell="F23" sqref="F23"/>
    </sheetView>
  </sheetViews>
  <sheetFormatPr defaultRowHeight="14.4" x14ac:dyDescent="0.3"/>
  <cols>
    <col min="2" max="2" width="23.33203125" customWidth="1"/>
    <col min="3" max="3" width="17.88671875" customWidth="1"/>
    <col min="4" max="4" width="20.109375" customWidth="1"/>
    <col min="5" max="5" width="27.6640625" customWidth="1"/>
    <col min="6" max="6" width="22.88671875" customWidth="1"/>
    <col min="7" max="7" width="32.6640625" customWidth="1"/>
  </cols>
  <sheetData>
    <row r="2" spans="1:7" x14ac:dyDescent="0.3">
      <c r="A2" s="9" t="s">
        <v>13</v>
      </c>
    </row>
    <row r="4" spans="1:7" ht="34.5" customHeight="1" x14ac:dyDescent="0.3">
      <c r="A4" s="2" t="s">
        <v>5</v>
      </c>
      <c r="B4" s="2" t="s">
        <v>10</v>
      </c>
      <c r="C4" s="2" t="s">
        <v>7</v>
      </c>
      <c r="D4" s="2" t="s">
        <v>8</v>
      </c>
      <c r="E4" s="2" t="s">
        <v>11</v>
      </c>
      <c r="F4" s="2" t="s">
        <v>9</v>
      </c>
      <c r="G4" s="2" t="s">
        <v>9</v>
      </c>
    </row>
    <row r="5" spans="1:7" ht="36" customHeight="1" x14ac:dyDescent="0.3">
      <c r="A5" s="5">
        <v>1</v>
      </c>
      <c r="B5" s="4" t="s">
        <v>2</v>
      </c>
      <c r="C5" s="5">
        <v>1</v>
      </c>
      <c r="D5" s="7">
        <v>54</v>
      </c>
      <c r="E5" s="7">
        <v>15894417</v>
      </c>
      <c r="F5" s="7">
        <v>0</v>
      </c>
      <c r="G5" s="7">
        <v>15894417</v>
      </c>
    </row>
    <row r="6" spans="1:7" x14ac:dyDescent="0.3">
      <c r="A6" s="6">
        <v>2</v>
      </c>
      <c r="B6" s="4" t="s">
        <v>0</v>
      </c>
      <c r="C6" s="6">
        <v>33</v>
      </c>
      <c r="D6" s="6">
        <v>28</v>
      </c>
      <c r="E6" s="8">
        <v>165393581</v>
      </c>
      <c r="F6" s="8">
        <v>13322280</v>
      </c>
      <c r="G6" s="8">
        <f>E6+F6</f>
        <v>178715861</v>
      </c>
    </row>
    <row r="7" spans="1:7" x14ac:dyDescent="0.3">
      <c r="A7" s="10" t="s">
        <v>12</v>
      </c>
      <c r="B7" s="11"/>
      <c r="C7" s="2">
        <f>SUM(C5:C6)</f>
        <v>34</v>
      </c>
      <c r="D7" s="2">
        <f>SUM(D5:D6)</f>
        <v>82</v>
      </c>
      <c r="E7" s="2">
        <f>SUM(E5:E6)</f>
        <v>181287998</v>
      </c>
      <c r="F7" s="2">
        <f>SUM(F5:F6)</f>
        <v>13322280</v>
      </c>
      <c r="G7" s="2">
        <f>SUM(G5:G6)</f>
        <v>194610278</v>
      </c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Country</vt:lpstr>
      <vt:lpstr>Location</vt:lpstr>
      <vt:lpstr>By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Penolong Pengarah</dc:creator>
  <cp:lastModifiedBy>Ang Jin Sheng</cp:lastModifiedBy>
  <dcterms:created xsi:type="dcterms:W3CDTF">2024-09-08T05:14:03Z</dcterms:created>
  <dcterms:modified xsi:type="dcterms:W3CDTF">2026-03-03T04:47:17Z</dcterms:modified>
</cp:coreProperties>
</file>