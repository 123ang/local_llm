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i binti Saad\Documents\Apporaval 2024\"/>
    </mc:Choice>
  </mc:AlternateContent>
  <xr:revisionPtr revIDLastSave="0" documentId="13_ncr:1_{B38EAA40-267D-4129-AAA5-562C9DFE6A7C}" xr6:coauthVersionLast="36" xr6:coauthVersionMax="36" xr10:uidLastSave="{00000000-0000-0000-0000-000000000000}"/>
  <bookViews>
    <workbookView xWindow="0" yWindow="0" windowWidth="19200" windowHeight="8010" xr2:uid="{4A748504-B544-477F-8B94-7ACF8D65AC7F}"/>
  </bookViews>
  <sheets>
    <sheet name="By Sector" sheetId="6" r:id="rId1"/>
    <sheet name="By Location" sheetId="5" r:id="rId2"/>
    <sheet name="By Country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4" l="1"/>
  <c r="H9" i="4"/>
  <c r="G9" i="4"/>
  <c r="F9" i="4"/>
  <c r="J7" i="4"/>
  <c r="J9" i="4" s="1"/>
  <c r="H26" i="5"/>
  <c r="H27" i="5" s="1"/>
  <c r="G26" i="5"/>
  <c r="G27" i="5" s="1"/>
  <c r="F26" i="5"/>
  <c r="F27" i="5" s="1"/>
  <c r="E26" i="5"/>
  <c r="E27" i="5" s="1"/>
  <c r="I22" i="5"/>
  <c r="K22" i="5" s="1"/>
  <c r="I9" i="5"/>
  <c r="K9" i="5" s="1"/>
  <c r="J16" i="5"/>
  <c r="K16" i="5" s="1"/>
  <c r="K23" i="5"/>
  <c r="I23" i="5" s="1"/>
  <c r="K11" i="5"/>
  <c r="K15" i="5"/>
  <c r="K17" i="5"/>
  <c r="K20" i="5"/>
  <c r="K14" i="5"/>
  <c r="K12" i="5"/>
  <c r="J26" i="5" l="1"/>
  <c r="J27" i="5" s="1"/>
  <c r="I26" i="5"/>
  <c r="I27" i="5" s="1"/>
  <c r="K26" i="5"/>
  <c r="K27" i="5" s="1"/>
</calcChain>
</file>

<file path=xl/sharedStrings.xml><?xml version="1.0" encoding="utf-8"?>
<sst xmlns="http://schemas.openxmlformats.org/spreadsheetml/2006/main" count="86" uniqueCount="46">
  <si>
    <t>Main Sector</t>
  </si>
  <si>
    <t>Sector</t>
  </si>
  <si>
    <t>Year</t>
  </si>
  <si>
    <t>Total</t>
  </si>
  <si>
    <t>Sub-Sector</t>
  </si>
  <si>
    <t>Number of Projects</t>
  </si>
  <si>
    <t>Potential Employment</t>
  </si>
  <si>
    <t>Domestic Investment</t>
  </si>
  <si>
    <t>Foreign Investment</t>
  </si>
  <si>
    <t>Total Investment</t>
  </si>
  <si>
    <t>Services</t>
  </si>
  <si>
    <t>Hotel and Tourism</t>
  </si>
  <si>
    <t>Hotel</t>
  </si>
  <si>
    <t>Support Services</t>
  </si>
  <si>
    <t>Green Technology</t>
  </si>
  <si>
    <t>Location</t>
  </si>
  <si>
    <t>Product/Activity</t>
  </si>
  <si>
    <t>Local Employment</t>
  </si>
  <si>
    <t>Foreign Employment</t>
  </si>
  <si>
    <t>RM</t>
  </si>
  <si>
    <t>Japan</t>
  </si>
  <si>
    <t>Jitra</t>
  </si>
  <si>
    <t>Menjana Tenaga Boleh Diperbaharui Dengan Menggunakan Solar Untuk Kegunaan Sendiri &amp;Selco&amp;&amp;Three Phase&amp;&amp;1673.25kWp&amp;</t>
  </si>
  <si>
    <t>Singapore</t>
  </si>
  <si>
    <t>Langkawi</t>
  </si>
  <si>
    <t>Sungai Petani IE</t>
  </si>
  <si>
    <t>Kulim High Tech Ind. Park</t>
  </si>
  <si>
    <t>Thailand</t>
  </si>
  <si>
    <t>Sungai Petani</t>
  </si>
  <si>
    <t>Kepala Batas</t>
  </si>
  <si>
    <t>Alor Star</t>
  </si>
  <si>
    <t>Bedong</t>
  </si>
  <si>
    <t>Kodiang</t>
  </si>
  <si>
    <t>Kuala Kedah</t>
  </si>
  <si>
    <t>Kulim</t>
  </si>
  <si>
    <t>Lunas</t>
  </si>
  <si>
    <t>Mergong II IE</t>
  </si>
  <si>
    <t>Other Areas</t>
  </si>
  <si>
    <t>Padang Serai</t>
  </si>
  <si>
    <t>Pendang</t>
  </si>
  <si>
    <t>Pokok Sena</t>
  </si>
  <si>
    <t>Menjana Tenaga Boleh Diperbaharui Dengan Menggunakan Solar</t>
  </si>
  <si>
    <t>Approved Services Projects in Kedah By Sector For The Year 2024</t>
  </si>
  <si>
    <t>Approved Services Projects in Kedah By Location For The Year 2024</t>
  </si>
  <si>
    <t>Approved Services Projects in Kedah By Country For The Year 2024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</si>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</sst>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);\(#,##0\)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 Unicode MS"/>
    </font>
    <font>
      <b/>
      <sz val="8"/>
      <color rgb="FF000000"/>
      <name val="Arial Unicode MS"/>
    </font>
    <font>
      <sz val="8"/>
      <color rgb="FF000000"/>
      <name val="Arial Unicode MS"/>
    </font>
    <font>
      <b/>
      <u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44464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EE6E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0E0E0"/>
      </right>
      <top/>
      <bottom style="thin">
        <color rgb="FFDEDEDE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/>
      <top/>
      <bottom style="thin">
        <color rgb="FFDEDE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ABABA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3" borderId="0" xfId="0" applyFill="1" applyAlignment="1"/>
    <xf numFmtId="0" fontId="4" fillId="3" borderId="2" xfId="0" applyFont="1" applyFill="1" applyBorder="1" applyAlignment="1">
      <alignment horizontal="left" vertical="top" wrapText="1"/>
    </xf>
    <xf numFmtId="164" fontId="4" fillId="3" borderId="2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top" wrapText="1"/>
    </xf>
    <xf numFmtId="164" fontId="8" fillId="3" borderId="4" xfId="0" applyNumberFormat="1" applyFont="1" applyFill="1" applyBorder="1" applyAlignment="1">
      <alignment horizontal="center" vertical="top"/>
    </xf>
    <xf numFmtId="0" fontId="8" fillId="3" borderId="4" xfId="0" applyFont="1" applyFill="1" applyBorder="1" applyAlignment="1">
      <alignment vertical="top" wrapText="1"/>
    </xf>
    <xf numFmtId="164" fontId="8" fillId="0" borderId="4" xfId="0" applyNumberFormat="1" applyFont="1" applyFill="1" applyBorder="1" applyAlignment="1">
      <alignment horizontal="right" vertical="top"/>
    </xf>
    <xf numFmtId="0" fontId="6" fillId="0" borderId="4" xfId="0" applyFont="1" applyFill="1" applyBorder="1" applyAlignment="1">
      <alignment horizontal="right"/>
    </xf>
    <xf numFmtId="166" fontId="6" fillId="0" borderId="4" xfId="1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164" fontId="8" fillId="3" borderId="4" xfId="0" applyNumberFormat="1" applyFont="1" applyFill="1" applyBorder="1" applyAlignment="1">
      <alignment horizontal="right" vertical="top"/>
    </xf>
    <xf numFmtId="164" fontId="10" fillId="5" borderId="0" xfId="0" applyNumberFormat="1" applyFont="1" applyFill="1"/>
    <xf numFmtId="0" fontId="9" fillId="3" borderId="4" xfId="0" applyFont="1" applyFill="1" applyBorder="1" applyAlignment="1">
      <alignment horizontal="left" vertical="top" wrapText="1"/>
    </xf>
    <xf numFmtId="164" fontId="11" fillId="3" borderId="4" xfId="0" applyNumberFormat="1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left" vertical="top"/>
    </xf>
    <xf numFmtId="164" fontId="9" fillId="4" borderId="4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164" fontId="11" fillId="3" borderId="4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top"/>
    </xf>
    <xf numFmtId="0" fontId="9" fillId="4" borderId="6" xfId="0" applyFont="1" applyFill="1" applyBorder="1" applyAlignment="1">
      <alignment horizontal="center" vertical="top"/>
    </xf>
    <xf numFmtId="0" fontId="9" fillId="4" borderId="7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47B5-00BF-41F1-BA00-9B6386C3A2E2}">
  <dimension ref="B2:M13"/>
  <sheetViews>
    <sheetView tabSelected="1" topLeftCell="E1" workbookViewId="0">
      <selection activeCell="E2" sqref="E2"/>
    </sheetView>
  </sheetViews>
  <sheetFormatPr defaultRowHeight="14.5"/>
  <cols>
    <col min="5" max="5" width="24.453125" customWidth="1"/>
    <col min="6" max="6" width="27" customWidth="1"/>
    <col min="7" max="7" width="15.6328125" customWidth="1"/>
    <col min="8" max="8" width="14.26953125" customWidth="1"/>
    <col min="9" max="9" width="14.90625" customWidth="1"/>
    <col min="11" max="11" width="21.7265625" customWidth="1"/>
    <col min="12" max="12" width="43.7265625" customWidth="1"/>
  </cols>
  <sheetData>
    <row r="2" spans="2:13" ht="15.5">
      <c r="E2" s="5" t="s">
        <v>42</v>
      </c>
    </row>
    <row r="5" spans="2:13">
      <c r="B5" s="21" t="s">
        <v>0</v>
      </c>
      <c r="C5" s="21"/>
      <c r="D5" s="27"/>
      <c r="E5" s="28" t="s">
        <v>1</v>
      </c>
      <c r="F5" s="7" t="s">
        <v>2</v>
      </c>
      <c r="G5" s="28">
        <v>2024</v>
      </c>
      <c r="H5" s="28"/>
      <c r="I5" s="28"/>
      <c r="J5" s="28"/>
      <c r="K5" s="28"/>
      <c r="L5" s="28"/>
      <c r="M5" s="1"/>
    </row>
    <row r="6" spans="2:13" ht="28">
      <c r="B6" s="21"/>
      <c r="C6" s="21"/>
      <c r="D6" s="27"/>
      <c r="E6" s="28"/>
      <c r="F6" s="7" t="s">
        <v>4</v>
      </c>
      <c r="G6" s="7" t="s">
        <v>5</v>
      </c>
      <c r="H6" s="7" t="s">
        <v>6</v>
      </c>
      <c r="I6" s="7" t="s">
        <v>7</v>
      </c>
      <c r="J6" s="28" t="s">
        <v>8</v>
      </c>
      <c r="K6" s="28"/>
      <c r="L6" s="7" t="s">
        <v>9</v>
      </c>
      <c r="M6" s="1"/>
    </row>
    <row r="7" spans="2:13">
      <c r="B7" s="23" t="s">
        <v>10</v>
      </c>
      <c r="C7" s="23"/>
      <c r="D7" s="24"/>
      <c r="E7" s="25" t="s">
        <v>11</v>
      </c>
      <c r="F7" s="17" t="s">
        <v>12</v>
      </c>
      <c r="G7" s="18">
        <v>1</v>
      </c>
      <c r="H7" s="18">
        <v>54</v>
      </c>
      <c r="I7" s="18">
        <v>15894417</v>
      </c>
      <c r="J7" s="26">
        <v>0</v>
      </c>
      <c r="K7" s="26"/>
      <c r="L7" s="18">
        <v>15894417</v>
      </c>
      <c r="M7" s="1"/>
    </row>
    <row r="8" spans="2:13">
      <c r="B8" s="23"/>
      <c r="C8" s="23"/>
      <c r="D8" s="24"/>
      <c r="E8" s="25"/>
      <c r="F8" s="19" t="s">
        <v>3</v>
      </c>
      <c r="G8" s="20">
        <v>1</v>
      </c>
      <c r="H8" s="20">
        <v>54</v>
      </c>
      <c r="I8" s="20">
        <v>15894417</v>
      </c>
      <c r="J8" s="22">
        <v>0</v>
      </c>
      <c r="K8" s="22"/>
      <c r="L8" s="20">
        <v>15894417</v>
      </c>
      <c r="M8" s="1"/>
    </row>
    <row r="9" spans="2:13">
      <c r="B9" s="23"/>
      <c r="C9" s="23"/>
      <c r="D9" s="24"/>
      <c r="E9" s="25" t="s">
        <v>13</v>
      </c>
      <c r="F9" s="17" t="s">
        <v>14</v>
      </c>
      <c r="G9" s="18">
        <v>62</v>
      </c>
      <c r="H9" s="18">
        <v>47</v>
      </c>
      <c r="I9" s="18">
        <v>481715456.23000002</v>
      </c>
      <c r="J9" s="26">
        <v>19143599.91</v>
      </c>
      <c r="K9" s="26"/>
      <c r="L9" s="18">
        <v>500859056.13999999</v>
      </c>
      <c r="M9" s="1"/>
    </row>
    <row r="10" spans="2:13">
      <c r="B10" s="23"/>
      <c r="C10" s="23"/>
      <c r="D10" s="24"/>
      <c r="E10" s="25"/>
      <c r="F10" s="19" t="s">
        <v>3</v>
      </c>
      <c r="G10" s="20">
        <v>62</v>
      </c>
      <c r="H10" s="20">
        <v>47</v>
      </c>
      <c r="I10" s="20">
        <v>481715456.23000002</v>
      </c>
      <c r="J10" s="22">
        <v>19143599.91</v>
      </c>
      <c r="K10" s="22"/>
      <c r="L10" s="20">
        <v>500859056.13999999</v>
      </c>
      <c r="M10" s="1"/>
    </row>
    <row r="11" spans="2:13">
      <c r="B11" s="23"/>
      <c r="C11" s="23"/>
      <c r="D11" s="24"/>
      <c r="E11" s="19" t="s">
        <v>3</v>
      </c>
      <c r="F11" s="19"/>
      <c r="G11" s="20">
        <v>63</v>
      </c>
      <c r="H11" s="20">
        <v>101</v>
      </c>
      <c r="I11" s="20">
        <v>497609873.23000002</v>
      </c>
      <c r="J11" s="22">
        <v>19143599.91</v>
      </c>
      <c r="K11" s="22"/>
      <c r="L11" s="20">
        <v>516753473.13999999</v>
      </c>
      <c r="M11" s="1"/>
    </row>
    <row r="13" spans="2:13">
      <c r="L13" s="4"/>
    </row>
  </sheetData>
  <mergeCells count="12">
    <mergeCell ref="B5:D6"/>
    <mergeCell ref="E5:E6"/>
    <mergeCell ref="G5:L5"/>
    <mergeCell ref="J6:K6"/>
    <mergeCell ref="J11:K11"/>
    <mergeCell ref="B7:D11"/>
    <mergeCell ref="E7:E8"/>
    <mergeCell ref="J7:K7"/>
    <mergeCell ref="J8:K8"/>
    <mergeCell ref="E9:E10"/>
    <mergeCell ref="J9:K9"/>
    <mergeCell ref="J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C5C6-C5B0-4B48-A199-EE1730F397AC}">
  <dimension ref="A2:K30"/>
  <sheetViews>
    <sheetView workbookViewId="0">
      <selection activeCell="A2" sqref="A2"/>
    </sheetView>
  </sheetViews>
  <sheetFormatPr defaultRowHeight="14.5"/>
  <cols>
    <col min="1" max="1" width="20.6328125" customWidth="1"/>
    <col min="2" max="2" width="19.453125" customWidth="1"/>
    <col min="3" max="3" width="24.6328125" customWidth="1"/>
    <col min="4" max="4" width="21.08984375" customWidth="1"/>
    <col min="5" max="5" width="10.7265625" customWidth="1"/>
    <col min="6" max="6" width="15.90625" customWidth="1"/>
    <col min="7" max="7" width="13.90625" customWidth="1"/>
    <col min="8" max="8" width="14.08984375" customWidth="1"/>
    <col min="9" max="9" width="22" customWidth="1"/>
    <col min="10" max="10" width="22.36328125" customWidth="1"/>
    <col min="11" max="11" width="26.26953125" customWidth="1"/>
    <col min="14" max="14" width="16.453125" customWidth="1"/>
  </cols>
  <sheetData>
    <row r="2" spans="1:11" ht="15.5">
      <c r="A2" s="5" t="s">
        <v>43</v>
      </c>
    </row>
    <row r="4" spans="1:11" ht="20" customHeight="1">
      <c r="A4" s="28" t="s">
        <v>1</v>
      </c>
      <c r="B4" s="28" t="s">
        <v>4</v>
      </c>
      <c r="C4" s="28" t="s">
        <v>15</v>
      </c>
      <c r="D4" s="28" t="s">
        <v>16</v>
      </c>
      <c r="E4" s="28" t="s">
        <v>5</v>
      </c>
      <c r="F4" s="28" t="s">
        <v>17</v>
      </c>
      <c r="G4" s="28" t="s">
        <v>18</v>
      </c>
      <c r="H4" s="28" t="s">
        <v>6</v>
      </c>
      <c r="I4" s="28" t="s">
        <v>19</v>
      </c>
      <c r="J4" s="28"/>
      <c r="K4" s="28"/>
    </row>
    <row r="5" spans="1:11" ht="20" customHeight="1">
      <c r="A5" s="28"/>
      <c r="B5" s="28"/>
      <c r="C5" s="28"/>
      <c r="D5" s="28"/>
      <c r="E5" s="28"/>
      <c r="F5" s="28"/>
      <c r="G5" s="28"/>
      <c r="H5" s="28"/>
      <c r="I5" s="7" t="s">
        <v>7</v>
      </c>
      <c r="J5" s="7" t="s">
        <v>8</v>
      </c>
      <c r="K5" s="7" t="s">
        <v>9</v>
      </c>
    </row>
    <row r="6" spans="1:11" ht="26.5" customHeight="1">
      <c r="A6" s="8" t="s">
        <v>11</v>
      </c>
      <c r="B6" s="8" t="s">
        <v>12</v>
      </c>
      <c r="C6" s="8" t="s">
        <v>28</v>
      </c>
      <c r="D6" s="8" t="s">
        <v>12</v>
      </c>
      <c r="E6" s="15">
        <v>1</v>
      </c>
      <c r="F6" s="15">
        <v>54</v>
      </c>
      <c r="G6" s="15">
        <v>0</v>
      </c>
      <c r="H6" s="15">
        <v>54</v>
      </c>
      <c r="I6" s="15">
        <v>15894417</v>
      </c>
      <c r="J6" s="15">
        <v>0</v>
      </c>
      <c r="K6" s="15">
        <v>15894417</v>
      </c>
    </row>
    <row r="7" spans="1:11" ht="20" customHeight="1">
      <c r="A7" s="28" t="s">
        <v>1</v>
      </c>
      <c r="B7" s="28" t="s">
        <v>4</v>
      </c>
      <c r="C7" s="28" t="s">
        <v>15</v>
      </c>
      <c r="D7" s="28" t="s">
        <v>16</v>
      </c>
      <c r="E7" s="28" t="s">
        <v>5</v>
      </c>
      <c r="F7" s="28" t="s">
        <v>17</v>
      </c>
      <c r="G7" s="28" t="s">
        <v>18</v>
      </c>
      <c r="H7" s="28" t="s">
        <v>6</v>
      </c>
      <c r="I7" s="28" t="s">
        <v>19</v>
      </c>
      <c r="J7" s="28"/>
      <c r="K7" s="28"/>
    </row>
    <row r="8" spans="1:11" ht="20" customHeight="1">
      <c r="A8" s="28"/>
      <c r="B8" s="28"/>
      <c r="C8" s="28"/>
      <c r="D8" s="28"/>
      <c r="E8" s="28"/>
      <c r="F8" s="28"/>
      <c r="G8" s="28"/>
      <c r="H8" s="28"/>
      <c r="I8" s="7" t="s">
        <v>7</v>
      </c>
      <c r="J8" s="7" t="s">
        <v>8</v>
      </c>
      <c r="K8" s="7" t="s">
        <v>9</v>
      </c>
    </row>
    <row r="9" spans="1:11" ht="42.5" customHeight="1">
      <c r="A9" s="29" t="s">
        <v>13</v>
      </c>
      <c r="B9" s="29" t="s">
        <v>14</v>
      </c>
      <c r="C9" s="10" t="s">
        <v>34</v>
      </c>
      <c r="D9" s="29" t="s">
        <v>41</v>
      </c>
      <c r="E9" s="11">
        <v>2</v>
      </c>
      <c r="F9" s="11">
        <v>9</v>
      </c>
      <c r="G9" s="11">
        <v>0</v>
      </c>
      <c r="H9" s="11">
        <v>9</v>
      </c>
      <c r="I9" s="11">
        <f>53574427+250004000</f>
        <v>303578427</v>
      </c>
      <c r="J9" s="11">
        <v>0</v>
      </c>
      <c r="K9" s="11">
        <f>I9</f>
        <v>303578427</v>
      </c>
    </row>
    <row r="10" spans="1:11" ht="20" customHeight="1">
      <c r="A10" s="29"/>
      <c r="B10" s="29"/>
      <c r="C10" s="10" t="s">
        <v>24</v>
      </c>
      <c r="D10" s="29"/>
      <c r="E10" s="11">
        <v>1</v>
      </c>
      <c r="F10" s="11">
        <v>25</v>
      </c>
      <c r="G10" s="11">
        <v>0</v>
      </c>
      <c r="H10" s="11">
        <v>25</v>
      </c>
      <c r="I10" s="11">
        <v>115176000</v>
      </c>
      <c r="J10" s="11">
        <v>4824000</v>
      </c>
      <c r="K10" s="11">
        <v>120000000</v>
      </c>
    </row>
    <row r="11" spans="1:11" ht="20" customHeight="1">
      <c r="A11" s="29"/>
      <c r="B11" s="29"/>
      <c r="C11" s="10" t="s">
        <v>39</v>
      </c>
      <c r="D11" s="29"/>
      <c r="E11" s="11">
        <v>7</v>
      </c>
      <c r="F11" s="11">
        <v>3</v>
      </c>
      <c r="G11" s="11">
        <v>0</v>
      </c>
      <c r="H11" s="11">
        <v>3</v>
      </c>
      <c r="I11" s="11">
        <v>32048648</v>
      </c>
      <c r="J11" s="11">
        <v>0</v>
      </c>
      <c r="K11" s="11">
        <f>I11+J11</f>
        <v>32048648</v>
      </c>
    </row>
    <row r="12" spans="1:11" ht="20" customHeight="1">
      <c r="A12" s="29"/>
      <c r="B12" s="29"/>
      <c r="C12" s="10" t="s">
        <v>21</v>
      </c>
      <c r="D12" s="29"/>
      <c r="E12" s="11">
        <v>7</v>
      </c>
      <c r="F12" s="11">
        <v>10</v>
      </c>
      <c r="G12" s="11">
        <v>0</v>
      </c>
      <c r="H12" s="11">
        <v>10</v>
      </c>
      <c r="I12" s="11">
        <v>3768717</v>
      </c>
      <c r="J12" s="11">
        <v>5230000</v>
      </c>
      <c r="K12" s="11">
        <f>I12+J12</f>
        <v>8998717</v>
      </c>
    </row>
    <row r="13" spans="1:11" ht="20" customHeight="1">
      <c r="A13" s="29"/>
      <c r="B13" s="29"/>
      <c r="C13" s="10" t="s">
        <v>31</v>
      </c>
      <c r="D13" s="29"/>
      <c r="E13" s="11">
        <v>1</v>
      </c>
      <c r="F13" s="11">
        <v>0</v>
      </c>
      <c r="G13" s="11">
        <v>0</v>
      </c>
      <c r="H13" s="11">
        <v>0</v>
      </c>
      <c r="I13" s="11">
        <v>6440575</v>
      </c>
      <c r="J13" s="11">
        <v>0</v>
      </c>
      <c r="K13" s="11">
        <v>6440575</v>
      </c>
    </row>
    <row r="14" spans="1:11" ht="20" customHeight="1">
      <c r="A14" s="29"/>
      <c r="B14" s="29"/>
      <c r="C14" s="10" t="s">
        <v>29</v>
      </c>
      <c r="D14" s="29"/>
      <c r="E14" s="11">
        <v>5</v>
      </c>
      <c r="F14" s="11">
        <v>0</v>
      </c>
      <c r="G14" s="11">
        <v>0</v>
      </c>
      <c r="H14" s="11">
        <v>0</v>
      </c>
      <c r="I14" s="11">
        <v>6409002</v>
      </c>
      <c r="J14" s="11">
        <v>13568</v>
      </c>
      <c r="K14" s="11">
        <f>I14+J14</f>
        <v>6422570</v>
      </c>
    </row>
    <row r="15" spans="1:11" ht="20" customHeight="1">
      <c r="A15" s="29"/>
      <c r="B15" s="29"/>
      <c r="C15" s="10" t="s">
        <v>28</v>
      </c>
      <c r="D15" s="29"/>
      <c r="E15" s="11">
        <v>13</v>
      </c>
      <c r="F15" s="11">
        <v>0</v>
      </c>
      <c r="G15" s="11">
        <v>0</v>
      </c>
      <c r="H15" s="11">
        <v>0</v>
      </c>
      <c r="I15" s="11">
        <v>5884066</v>
      </c>
      <c r="J15" s="11">
        <v>23280</v>
      </c>
      <c r="K15" s="11">
        <f>I15+J15</f>
        <v>5907346</v>
      </c>
    </row>
    <row r="16" spans="1:11" ht="20" customHeight="1">
      <c r="A16" s="29"/>
      <c r="B16" s="29"/>
      <c r="C16" s="10" t="s">
        <v>26</v>
      </c>
      <c r="D16" s="29"/>
      <c r="E16" s="11">
        <v>2</v>
      </c>
      <c r="F16" s="11">
        <v>0</v>
      </c>
      <c r="G16" s="11">
        <v>0</v>
      </c>
      <c r="H16" s="11">
        <v>0</v>
      </c>
      <c r="I16" s="11">
        <v>0</v>
      </c>
      <c r="J16" s="11">
        <f>2439000+3245000</f>
        <v>5684000</v>
      </c>
      <c r="K16" s="11">
        <f>I16+J16</f>
        <v>5684000</v>
      </c>
    </row>
    <row r="17" spans="1:11" ht="20" customHeight="1">
      <c r="A17" s="29"/>
      <c r="B17" s="29"/>
      <c r="C17" s="10" t="s">
        <v>25</v>
      </c>
      <c r="D17" s="29"/>
      <c r="E17" s="12">
        <v>3</v>
      </c>
      <c r="F17" s="11">
        <v>0</v>
      </c>
      <c r="G17" s="11">
        <v>0</v>
      </c>
      <c r="H17" s="11">
        <v>0</v>
      </c>
      <c r="I17" s="13">
        <v>390080</v>
      </c>
      <c r="J17" s="13">
        <v>3358595</v>
      </c>
      <c r="K17" s="13">
        <f>I17+J17</f>
        <v>3748675</v>
      </c>
    </row>
    <row r="18" spans="1:11" ht="20" customHeight="1">
      <c r="A18" s="29"/>
      <c r="B18" s="29"/>
      <c r="C18" s="10" t="s">
        <v>40</v>
      </c>
      <c r="D18" s="29"/>
      <c r="E18" s="11">
        <v>1</v>
      </c>
      <c r="F18" s="11">
        <v>0</v>
      </c>
      <c r="G18" s="11">
        <v>0</v>
      </c>
      <c r="H18" s="11">
        <v>0</v>
      </c>
      <c r="I18" s="11">
        <v>2602600</v>
      </c>
      <c r="J18" s="11">
        <v>0</v>
      </c>
      <c r="K18" s="11">
        <v>2602600</v>
      </c>
    </row>
    <row r="19" spans="1:11" ht="20" customHeight="1">
      <c r="A19" s="29"/>
      <c r="B19" s="29"/>
      <c r="C19" s="10" t="s">
        <v>38</v>
      </c>
      <c r="D19" s="29"/>
      <c r="E19" s="11">
        <v>1</v>
      </c>
      <c r="F19" s="11">
        <v>0</v>
      </c>
      <c r="G19" s="11">
        <v>0</v>
      </c>
      <c r="H19" s="11">
        <v>0</v>
      </c>
      <c r="I19" s="11">
        <v>1489200</v>
      </c>
      <c r="J19" s="11">
        <v>0</v>
      </c>
      <c r="K19" s="11">
        <v>1489200</v>
      </c>
    </row>
    <row r="20" spans="1:11" ht="20" customHeight="1">
      <c r="A20" s="29"/>
      <c r="B20" s="29"/>
      <c r="C20" s="10" t="s">
        <v>32</v>
      </c>
      <c r="D20" s="29"/>
      <c r="E20" s="11">
        <v>2</v>
      </c>
      <c r="F20" s="11">
        <v>0</v>
      </c>
      <c r="G20" s="11">
        <v>0</v>
      </c>
      <c r="H20" s="11">
        <v>0</v>
      </c>
      <c r="I20" s="11">
        <v>1379000</v>
      </c>
      <c r="J20" s="11">
        <v>0</v>
      </c>
      <c r="K20" s="11">
        <f>I20+J20</f>
        <v>1379000</v>
      </c>
    </row>
    <row r="21" spans="1:11" ht="20" customHeight="1">
      <c r="A21" s="29"/>
      <c r="B21" s="29"/>
      <c r="C21" s="10" t="s">
        <v>30</v>
      </c>
      <c r="D21" s="29"/>
      <c r="E21" s="11">
        <v>11</v>
      </c>
      <c r="F21" s="11">
        <v>0</v>
      </c>
      <c r="G21" s="11">
        <v>0</v>
      </c>
      <c r="H21" s="11">
        <v>0</v>
      </c>
      <c r="I21" s="11">
        <v>1086347</v>
      </c>
      <c r="J21" s="11">
        <v>10157</v>
      </c>
      <c r="K21" s="11">
        <v>1096504</v>
      </c>
    </row>
    <row r="22" spans="1:11" ht="20" customHeight="1">
      <c r="A22" s="29"/>
      <c r="B22" s="29"/>
      <c r="C22" s="10" t="s">
        <v>33</v>
      </c>
      <c r="D22" s="29"/>
      <c r="E22" s="11">
        <v>2</v>
      </c>
      <c r="F22" s="11">
        <v>0</v>
      </c>
      <c r="G22" s="11">
        <v>0</v>
      </c>
      <c r="H22" s="11">
        <v>0</v>
      </c>
      <c r="I22" s="11">
        <f>716880+252560</f>
        <v>969440</v>
      </c>
      <c r="J22" s="11">
        <v>0</v>
      </c>
      <c r="K22" s="11">
        <f>I22+J22</f>
        <v>969440</v>
      </c>
    </row>
    <row r="23" spans="1:11" ht="20" customHeight="1">
      <c r="A23" s="29"/>
      <c r="B23" s="29"/>
      <c r="C23" s="10" t="s">
        <v>37</v>
      </c>
      <c r="D23" s="29"/>
      <c r="E23" s="11">
        <v>2</v>
      </c>
      <c r="F23" s="11">
        <v>0</v>
      </c>
      <c r="G23" s="11">
        <v>0</v>
      </c>
      <c r="H23" s="11">
        <v>0</v>
      </c>
      <c r="I23" s="11">
        <f>K23</f>
        <v>245734</v>
      </c>
      <c r="J23" s="11"/>
      <c r="K23" s="11">
        <f>115000+130734</f>
        <v>245734</v>
      </c>
    </row>
    <row r="24" spans="1:11" ht="20" customHeight="1">
      <c r="A24" s="29"/>
      <c r="B24" s="29"/>
      <c r="C24" s="10" t="s">
        <v>35</v>
      </c>
      <c r="D24" s="29"/>
      <c r="E24" s="11">
        <v>1</v>
      </c>
      <c r="F24" s="11">
        <v>0</v>
      </c>
      <c r="G24" s="11">
        <v>0</v>
      </c>
      <c r="H24" s="11">
        <v>0</v>
      </c>
      <c r="I24" s="11">
        <v>210000</v>
      </c>
      <c r="J24" s="11">
        <v>0</v>
      </c>
      <c r="K24" s="11">
        <v>210000</v>
      </c>
    </row>
    <row r="25" spans="1:11" ht="20" customHeight="1">
      <c r="A25" s="29"/>
      <c r="B25" s="29"/>
      <c r="C25" s="10" t="s">
        <v>36</v>
      </c>
      <c r="D25" s="29"/>
      <c r="E25" s="11">
        <v>1</v>
      </c>
      <c r="F25" s="11">
        <v>0</v>
      </c>
      <c r="G25" s="11">
        <v>0</v>
      </c>
      <c r="H25" s="11">
        <v>0</v>
      </c>
      <c r="I25" s="11">
        <v>37620</v>
      </c>
      <c r="J25" s="11">
        <v>0</v>
      </c>
      <c r="K25" s="11">
        <v>37620</v>
      </c>
    </row>
    <row r="26" spans="1:11">
      <c r="A26" s="30" t="s">
        <v>3</v>
      </c>
      <c r="B26" s="31"/>
      <c r="C26" s="31"/>
      <c r="D26" s="32"/>
      <c r="E26" s="14">
        <f>SUM(E9:E25)</f>
        <v>62</v>
      </c>
      <c r="F26" s="14">
        <f t="shared" ref="F26:K26" si="0">SUM(F9:F25)</f>
        <v>47</v>
      </c>
      <c r="G26" s="14">
        <f t="shared" si="0"/>
        <v>0</v>
      </c>
      <c r="H26" s="14">
        <f t="shared" si="0"/>
        <v>47</v>
      </c>
      <c r="I26" s="14">
        <f t="shared" si="0"/>
        <v>481715456</v>
      </c>
      <c r="J26" s="14">
        <f t="shared" si="0"/>
        <v>19143600</v>
      </c>
      <c r="K26" s="14">
        <f t="shared" si="0"/>
        <v>500859056</v>
      </c>
    </row>
    <row r="27" spans="1:11" ht="28.5" customHeight="1">
      <c r="A27" s="33" t="s">
        <v>3</v>
      </c>
      <c r="B27" s="33"/>
      <c r="C27" s="33"/>
      <c r="D27" s="33"/>
      <c r="E27" s="16">
        <f>E26+E6</f>
        <v>63</v>
      </c>
      <c r="F27" s="16">
        <f t="shared" ref="F27:K27" si="1">F26+F6</f>
        <v>101</v>
      </c>
      <c r="G27" s="16">
        <f t="shared" si="1"/>
        <v>0</v>
      </c>
      <c r="H27" s="16">
        <f t="shared" si="1"/>
        <v>101</v>
      </c>
      <c r="I27" s="16">
        <f t="shared" si="1"/>
        <v>497609873</v>
      </c>
      <c r="J27" s="16">
        <f t="shared" si="1"/>
        <v>19143600</v>
      </c>
      <c r="K27" s="16">
        <f t="shared" si="1"/>
        <v>516753473</v>
      </c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</sheetData>
  <sortState ref="A10:K25">
    <sortCondition descending="1" ref="K9:K25"/>
  </sortState>
  <mergeCells count="23">
    <mergeCell ref="H4:H5"/>
    <mergeCell ref="I4:K4"/>
    <mergeCell ref="C4:C5"/>
    <mergeCell ref="D4:D5"/>
    <mergeCell ref="E4:E5"/>
    <mergeCell ref="F4:F5"/>
    <mergeCell ref="A7:A8"/>
    <mergeCell ref="B7:B8"/>
    <mergeCell ref="C7:C8"/>
    <mergeCell ref="D7:D8"/>
    <mergeCell ref="G4:G5"/>
    <mergeCell ref="A4:A5"/>
    <mergeCell ref="B4:B5"/>
    <mergeCell ref="A9:A25"/>
    <mergeCell ref="B9:B25"/>
    <mergeCell ref="D9:D25"/>
    <mergeCell ref="A26:D26"/>
    <mergeCell ref="A27:D27"/>
    <mergeCell ref="E7:E8"/>
    <mergeCell ref="F7:F8"/>
    <mergeCell ref="G7:G8"/>
    <mergeCell ref="H7:H8"/>
    <mergeCell ref="I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05F7-0AE2-4FB5-98F5-059F73F10A89}">
  <dimension ref="B2:K13"/>
  <sheetViews>
    <sheetView workbookViewId="0">
      <selection activeCell="G12" sqref="G12"/>
    </sheetView>
  </sheetViews>
  <sheetFormatPr defaultRowHeight="14.5"/>
  <cols>
    <col min="5" max="5" width="37" customWidth="1"/>
    <col min="6" max="6" width="11.1796875" customWidth="1"/>
    <col min="7" max="7" width="21.36328125" customWidth="1"/>
    <col min="10" max="10" width="22.36328125" customWidth="1"/>
    <col min="11" max="11" width="9.36328125" bestFit="1" customWidth="1"/>
  </cols>
  <sheetData>
    <row r="2" spans="2:11" ht="15.5">
      <c r="B2" s="5" t="s">
        <v>44</v>
      </c>
    </row>
    <row r="4" spans="2:11" ht="20" customHeight="1">
      <c r="B4" s="28" t="s">
        <v>1</v>
      </c>
      <c r="C4" s="28" t="s">
        <v>4</v>
      </c>
      <c r="D4" s="28" t="s">
        <v>45</v>
      </c>
      <c r="E4" s="28" t="s">
        <v>16</v>
      </c>
      <c r="F4" s="28" t="s">
        <v>5</v>
      </c>
      <c r="G4" s="28" t="s">
        <v>17</v>
      </c>
      <c r="H4" s="28" t="s">
        <v>18</v>
      </c>
      <c r="I4" s="28" t="s">
        <v>6</v>
      </c>
      <c r="J4" s="7"/>
    </row>
    <row r="5" spans="2:11" ht="20" customHeight="1">
      <c r="B5" s="28"/>
      <c r="C5" s="28"/>
      <c r="D5" s="28"/>
      <c r="E5" s="28"/>
      <c r="F5" s="28"/>
      <c r="G5" s="28"/>
      <c r="H5" s="28"/>
      <c r="I5" s="28"/>
      <c r="J5" s="7" t="s">
        <v>8</v>
      </c>
    </row>
    <row r="6" spans="2:11" ht="20" customHeight="1">
      <c r="B6" s="34" t="s">
        <v>13</v>
      </c>
      <c r="C6" s="34" t="s">
        <v>14</v>
      </c>
      <c r="D6" s="8" t="s">
        <v>20</v>
      </c>
      <c r="E6" s="34" t="s">
        <v>22</v>
      </c>
      <c r="F6" s="9">
        <v>4</v>
      </c>
      <c r="G6" s="9">
        <v>0</v>
      </c>
      <c r="H6" s="9">
        <v>0</v>
      </c>
      <c r="I6" s="9">
        <v>0</v>
      </c>
      <c r="J6" s="9">
        <v>14272595</v>
      </c>
    </row>
    <row r="7" spans="2:11" ht="20" customHeight="1">
      <c r="B7" s="34"/>
      <c r="C7" s="34"/>
      <c r="D7" s="8" t="s">
        <v>23</v>
      </c>
      <c r="E7" s="34"/>
      <c r="F7" s="9">
        <v>3</v>
      </c>
      <c r="G7" s="9">
        <v>25</v>
      </c>
      <c r="H7" s="9">
        <v>0</v>
      </c>
      <c r="I7" s="9">
        <v>25</v>
      </c>
      <c r="J7" s="9">
        <f>4824000+13568+10157</f>
        <v>4847725</v>
      </c>
    </row>
    <row r="8" spans="2:11" ht="20" customHeight="1">
      <c r="B8" s="34"/>
      <c r="C8" s="34"/>
      <c r="D8" s="8" t="s">
        <v>27</v>
      </c>
      <c r="E8" s="34"/>
      <c r="F8" s="9">
        <v>1</v>
      </c>
      <c r="G8" s="9">
        <v>0</v>
      </c>
      <c r="H8" s="9">
        <v>0</v>
      </c>
      <c r="I8" s="9">
        <v>0</v>
      </c>
      <c r="J8" s="9">
        <v>23280</v>
      </c>
    </row>
    <row r="9" spans="2:11" ht="20" customHeight="1">
      <c r="B9" s="35" t="s">
        <v>3</v>
      </c>
      <c r="C9" s="36"/>
      <c r="D9" s="36"/>
      <c r="E9" s="37"/>
      <c r="F9" s="20">
        <f>SUM(F6:F8)</f>
        <v>8</v>
      </c>
      <c r="G9" s="20">
        <f t="shared" ref="G9:J9" si="0">SUM(G6:G8)</f>
        <v>25</v>
      </c>
      <c r="H9" s="20">
        <f t="shared" si="0"/>
        <v>0</v>
      </c>
      <c r="I9" s="20">
        <f t="shared" si="0"/>
        <v>25</v>
      </c>
      <c r="J9" s="20">
        <f t="shared" si="0"/>
        <v>19143600</v>
      </c>
    </row>
    <row r="10" spans="2:11" ht="20" customHeight="1">
      <c r="B10" s="2"/>
      <c r="C10" s="2"/>
      <c r="D10" s="2"/>
      <c r="E10" s="2"/>
      <c r="F10" s="3"/>
      <c r="G10" s="3"/>
      <c r="H10" s="3"/>
      <c r="I10" s="3"/>
      <c r="J10" s="3"/>
    </row>
    <row r="11" spans="2:11" ht="20" customHeight="1">
      <c r="B11" s="2"/>
      <c r="C11" s="2"/>
      <c r="D11" s="2"/>
      <c r="E11" s="2"/>
      <c r="F11" s="3"/>
      <c r="G11" s="3"/>
      <c r="H11" s="3"/>
      <c r="I11" s="3"/>
      <c r="J11" s="3"/>
      <c r="K11" s="4"/>
    </row>
    <row r="12" spans="2:11" ht="20" customHeight="1"/>
    <row r="13" spans="2:11" ht="20" customHeight="1">
      <c r="J13" s="4"/>
    </row>
  </sheetData>
  <sortState ref="B9:J12">
    <sortCondition ref="D6:D12"/>
  </sortState>
  <mergeCells count="12">
    <mergeCell ref="F4:F5"/>
    <mergeCell ref="G4:G5"/>
    <mergeCell ref="H4:H5"/>
    <mergeCell ref="I4:I5"/>
    <mergeCell ref="B4:B5"/>
    <mergeCell ref="C4:C5"/>
    <mergeCell ref="D4:D5"/>
    <mergeCell ref="B6:B8"/>
    <mergeCell ref="C6:C8"/>
    <mergeCell ref="E6:E8"/>
    <mergeCell ref="B9:E9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Sector</vt:lpstr>
      <vt:lpstr>By Location</vt:lpstr>
      <vt:lpstr>By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Rohani binti Saad</dc:creator>
  <cp:lastModifiedBy>Rohani binti Saad</cp:lastModifiedBy>
  <dcterms:created xsi:type="dcterms:W3CDTF">2025-02-26T04:25:49Z</dcterms:created>
  <dcterms:modified xsi:type="dcterms:W3CDTF">2025-02-26T07:00:04Z</dcterms:modified>
</cp:coreProperties>
</file>