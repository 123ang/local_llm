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vest Kedah\Desktop\Amirul Haziq\Pembangunan_Dashboard\Approved Investment Data - MIDA\Approved Investment 2024\Overall Approved Investment 2024\"/>
    </mc:Choice>
  </mc:AlternateContent>
  <bookViews>
    <workbookView xWindow="0" yWindow="0" windowWidth="15585" windowHeight="4305" activeTab="1"/>
  </bookViews>
  <sheets>
    <sheet name="State" sheetId="7" r:id="rId1"/>
    <sheet name="Industry" sheetId="6" r:id="rId2"/>
    <sheet name="Location" sheetId="5" r:id="rId3"/>
    <sheet name="Country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4" l="1"/>
  <c r="D19" i="4"/>
  <c r="C19" i="4"/>
  <c r="G8" i="5"/>
  <c r="G11" i="5"/>
  <c r="F22" i="6"/>
  <c r="G22" i="6"/>
  <c r="E22" i="6"/>
  <c r="D22" i="6"/>
  <c r="C22" i="6"/>
  <c r="G26" i="5" l="1"/>
  <c r="G22" i="7"/>
  <c r="F22" i="7"/>
  <c r="E22" i="7"/>
  <c r="D22" i="7"/>
  <c r="C22" i="7"/>
</calcChain>
</file>

<file path=xl/sharedStrings.xml><?xml version="1.0" encoding="utf-8"?>
<sst xmlns="http://schemas.openxmlformats.org/spreadsheetml/2006/main" count="99" uniqueCount="75">
  <si>
    <t>State</t>
  </si>
  <si>
    <t>Total</t>
  </si>
  <si>
    <t>Location</t>
  </si>
  <si>
    <t>Kedah</t>
  </si>
  <si>
    <t>Alor Star</t>
  </si>
  <si>
    <t>Bakar Arang IE</t>
  </si>
  <si>
    <t>Bukit Kayu Hitam IE</t>
  </si>
  <si>
    <t>Daerah Kuala Muda</t>
  </si>
  <si>
    <t>Guron</t>
  </si>
  <si>
    <t>Gurun IE</t>
  </si>
  <si>
    <t>Jitra</t>
  </si>
  <si>
    <t>Kuala Ketil IE</t>
  </si>
  <si>
    <t>Kulim</t>
  </si>
  <si>
    <t>Kulim High Tech Ind. Park</t>
  </si>
  <si>
    <t>Kulim IE</t>
  </si>
  <si>
    <t>Lunas</t>
  </si>
  <si>
    <t>Mergong Barrage  IE</t>
  </si>
  <si>
    <t>Padang Serai</t>
  </si>
  <si>
    <t>Sungai Petani</t>
  </si>
  <si>
    <t>Sungai Petani IE</t>
  </si>
  <si>
    <t>Taman Makmur IE</t>
  </si>
  <si>
    <t>Tikam Batu IE</t>
  </si>
  <si>
    <t>Austria</t>
  </si>
  <si>
    <t>Cayman Islands</t>
  </si>
  <si>
    <t>France</t>
  </si>
  <si>
    <t>Hong Kong SAR, China</t>
  </si>
  <si>
    <t>Indonesia</t>
  </si>
  <si>
    <t>Italy</t>
  </si>
  <si>
    <t>Japan</t>
  </si>
  <si>
    <t>Singapore</t>
  </si>
  <si>
    <t>Taiwan</t>
  </si>
  <si>
    <t>The People's Republic of China</t>
  </si>
  <si>
    <t>Turkiye</t>
  </si>
  <si>
    <t>United States of America (USA)</t>
  </si>
  <si>
    <r>
      <t>2024</t>
    </r>
    <r>
      <rPr>
        <b/>
        <sz val="11"/>
        <color rgb="FFFF0000"/>
        <rFont val="Arial"/>
        <family val="2"/>
      </rPr>
      <t>***</t>
    </r>
  </si>
  <si>
    <t>No. of Projects</t>
  </si>
  <si>
    <t>Employment</t>
  </si>
  <si>
    <t>Domestic
Investment
(RM)</t>
  </si>
  <si>
    <t>Foreign
Investment
(RM)</t>
  </si>
  <si>
    <t>Total
Investment
(RM)</t>
  </si>
  <si>
    <t>Electrical &amp; Electronics</t>
  </si>
  <si>
    <t>Transport Equipment</t>
  </si>
  <si>
    <t>Machinery &amp; Equipment</t>
  </si>
  <si>
    <t>Paper, Printing &amp; Publishing</t>
  </si>
  <si>
    <t>Scientific &amp; Measuring Equipment</t>
  </si>
  <si>
    <t>Non-Metallic Mineral Products</t>
  </si>
  <si>
    <t>Rubber Products</t>
  </si>
  <si>
    <t>Fabricated Metal Products</t>
  </si>
  <si>
    <t>-</t>
  </si>
  <si>
    <t>Chemicals &amp; Chemical Products</t>
  </si>
  <si>
    <t>Plastic Products</t>
  </si>
  <si>
    <t>Food Manufacturing</t>
  </si>
  <si>
    <t>Basic Metal Products</t>
  </si>
  <si>
    <t>Furniture &amp; Fixtures</t>
  </si>
  <si>
    <t>Textiles &amp; Textile Products</t>
  </si>
  <si>
    <t>Miscellaneous</t>
  </si>
  <si>
    <t>Industry</t>
  </si>
  <si>
    <t>Selangor</t>
  </si>
  <si>
    <t>Pulau Pinang</t>
  </si>
  <si>
    <t>Johor</t>
  </si>
  <si>
    <t>Sarawak</t>
  </si>
  <si>
    <t>Negeri Sembilan</t>
  </si>
  <si>
    <t>Melaka</t>
  </si>
  <si>
    <t>Perak</t>
  </si>
  <si>
    <t>Sabah</t>
  </si>
  <si>
    <t>Pahang</t>
  </si>
  <si>
    <t>Kelantan</t>
  </si>
  <si>
    <t>Wilayah Persekutuan Kuala Lumpur</t>
  </si>
  <si>
    <t>Terengganu</t>
  </si>
  <si>
    <t>Perlis</t>
  </si>
  <si>
    <t>Wilayah Persekutuan Labuan</t>
  </si>
  <si>
    <t>Approved Manufacturing Projects By State For The Year 2024</t>
  </si>
  <si>
    <t>Approved Manufacturing Projects By Industry For The Year 2024</t>
  </si>
  <si>
    <t>Approved Manufacturing Projects By Location For The Year 2024</t>
  </si>
  <si>
    <t>Approved Manufacturing Projects By Country Participation For The Year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</si>
</sst>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000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b/>
      <u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444649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EE6E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3" fontId="2" fillId="4" borderId="6" xfId="0" applyNumberFormat="1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left" vertical="center" indent="1"/>
    </xf>
    <xf numFmtId="3" fontId="2" fillId="5" borderId="6" xfId="0" applyNumberFormat="1" applyFont="1" applyFill="1" applyBorder="1" applyAlignment="1">
      <alignment horizontal="right" vertical="center"/>
    </xf>
    <xf numFmtId="0" fontId="4" fillId="0" borderId="6" xfId="0" applyFont="1" applyBorder="1" applyAlignment="1">
      <alignment horizontal="left" vertical="center" indent="2"/>
    </xf>
    <xf numFmtId="3" fontId="4" fillId="0" borderId="6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left" vertical="center" indent="1"/>
    </xf>
    <xf numFmtId="0" fontId="2" fillId="6" borderId="6" xfId="0" applyFont="1" applyFill="1" applyBorder="1" applyAlignment="1">
      <alignment horizontal="left" vertical="center"/>
    </xf>
    <xf numFmtId="3" fontId="2" fillId="6" borderId="6" xfId="0" applyNumberFormat="1" applyFont="1" applyFill="1" applyBorder="1" applyAlignment="1">
      <alignment horizontal="right" vertical="center"/>
    </xf>
    <xf numFmtId="0" fontId="5" fillId="0" borderId="0" xfId="0" applyFont="1"/>
    <xf numFmtId="0" fontId="2" fillId="7" borderId="6" xfId="0" applyFont="1" applyFill="1" applyBorder="1" applyAlignment="1">
      <alignment horizontal="left" vertical="center" indent="1"/>
    </xf>
    <xf numFmtId="3" fontId="2" fillId="7" borderId="6" xfId="0" applyNumberFormat="1" applyFont="1" applyFill="1" applyBorder="1" applyAlignment="1">
      <alignment horizontal="right" vertical="center"/>
    </xf>
    <xf numFmtId="37" fontId="7" fillId="2" borderId="6" xfId="0" applyNumberFormat="1" applyFont="1" applyFill="1" applyBorder="1" applyAlignment="1">
      <alignment horizontal="center" vertical="top"/>
    </xf>
    <xf numFmtId="0" fontId="6" fillId="3" borderId="6" xfId="0" applyFont="1" applyFill="1" applyBorder="1" applyAlignment="1">
      <alignment horizontal="left" vertical="top"/>
    </xf>
    <xf numFmtId="37" fontId="6" fillId="3" borderId="6" xfId="0" applyNumberFormat="1" applyFont="1" applyFill="1" applyBorder="1" applyAlignment="1">
      <alignment horizontal="center" vertical="top"/>
    </xf>
    <xf numFmtId="0" fontId="8" fillId="2" borderId="6" xfId="0" applyFont="1" applyFill="1" applyBorder="1" applyAlignment="1">
      <alignment horizontal="left" vertical="top" wrapText="1"/>
    </xf>
    <xf numFmtId="37" fontId="0" fillId="0" borderId="0" xfId="0" applyNumberFormat="1"/>
    <xf numFmtId="37" fontId="7" fillId="2" borderId="6" xfId="0" applyNumberFormat="1" applyFont="1" applyFill="1" applyBorder="1" applyAlignment="1">
      <alignment vertical="top"/>
    </xf>
    <xf numFmtId="37" fontId="6" fillId="3" borderId="6" xfId="0" applyNumberFormat="1" applyFont="1" applyFill="1" applyBorder="1" applyAlignment="1">
      <alignment horizontal="right" vertical="top"/>
    </xf>
    <xf numFmtId="0" fontId="8" fillId="2" borderId="6" xfId="1" applyFont="1" applyFill="1" applyBorder="1" applyAlignment="1">
      <alignment vertical="top"/>
    </xf>
    <xf numFmtId="37" fontId="8" fillId="2" borderId="6" xfId="1" applyNumberFormat="1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2" fillId="4" borderId="3" xfId="0" applyNumberFormat="1" applyFont="1" applyFill="1" applyBorder="1" applyAlignment="1">
      <alignment horizontal="center" vertical="center" wrapText="1"/>
    </xf>
    <xf numFmtId="1" fontId="2" fillId="4" borderId="4" xfId="0" applyNumberFormat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left" vertical="center" indent="2"/>
    </xf>
    <xf numFmtId="3" fontId="4" fillId="8" borderId="6" xfId="0" applyNumberFormat="1" applyFont="1" applyFill="1" applyBorder="1" applyAlignment="1">
      <alignment horizontal="right" vertical="center"/>
    </xf>
    <xf numFmtId="0" fontId="0" fillId="8" borderId="0" xfId="0" applyFill="1"/>
    <xf numFmtId="166" fontId="4" fillId="8" borderId="6" xfId="0" applyNumberFormat="1" applyFont="1" applyFill="1" applyBorder="1" applyAlignment="1">
      <alignment horizontal="right" vertical="center"/>
    </xf>
    <xf numFmtId="166" fontId="4" fillId="0" borderId="6" xfId="0" applyNumberFormat="1" applyFont="1" applyBorder="1" applyAlignment="1">
      <alignment horizontal="right" vertical="center"/>
    </xf>
    <xf numFmtId="166" fontId="2" fillId="5" borderId="6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2"/>
  <sheetViews>
    <sheetView topLeftCell="A4" workbookViewId="0">
      <selection activeCell="B2" sqref="B2"/>
    </sheetView>
  </sheetViews>
  <sheetFormatPr defaultRowHeight="15" x14ac:dyDescent="0.25"/>
  <cols>
    <col min="2" max="2" width="33.140625" customWidth="1"/>
    <col min="3" max="3" width="11" customWidth="1"/>
    <col min="4" max="4" width="15.7109375" customWidth="1"/>
    <col min="5" max="5" width="21.85546875" customWidth="1"/>
    <col min="6" max="6" width="19.42578125" customWidth="1"/>
    <col min="7" max="7" width="27.140625" customWidth="1"/>
  </cols>
  <sheetData>
    <row r="2" spans="2:7" ht="15.75" x14ac:dyDescent="0.25">
      <c r="B2" s="9" t="s">
        <v>71</v>
      </c>
    </row>
    <row r="5" spans="2:7" x14ac:dyDescent="0.25">
      <c r="B5" s="21" t="s">
        <v>0</v>
      </c>
      <c r="C5" s="23" t="s">
        <v>34</v>
      </c>
      <c r="D5" s="24"/>
      <c r="E5" s="24"/>
      <c r="F5" s="24"/>
      <c r="G5" s="24"/>
    </row>
    <row r="6" spans="2:7" ht="45" x14ac:dyDescent="0.25">
      <c r="B6" s="22"/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</row>
    <row r="7" spans="2:7" x14ac:dyDescent="0.25">
      <c r="B7" s="10" t="s">
        <v>3</v>
      </c>
      <c r="C7" s="11">
        <v>59</v>
      </c>
      <c r="D7" s="11">
        <v>8882</v>
      </c>
      <c r="E7" s="11">
        <v>1421439298.76</v>
      </c>
      <c r="F7" s="11">
        <v>42643283306.589996</v>
      </c>
      <c r="G7" s="11">
        <v>44064722605.349998</v>
      </c>
    </row>
    <row r="8" spans="2:7" x14ac:dyDescent="0.25">
      <c r="B8" s="6" t="s">
        <v>57</v>
      </c>
      <c r="C8" s="5">
        <v>339</v>
      </c>
      <c r="D8" s="5">
        <v>18852</v>
      </c>
      <c r="E8" s="5">
        <v>8126884852.0426006</v>
      </c>
      <c r="F8" s="5">
        <v>10682016839.297401</v>
      </c>
      <c r="G8" s="5">
        <v>18808901691.34</v>
      </c>
    </row>
    <row r="9" spans="2:7" x14ac:dyDescent="0.25">
      <c r="B9" s="6" t="s">
        <v>58</v>
      </c>
      <c r="C9" s="5">
        <v>182</v>
      </c>
      <c r="D9" s="5">
        <v>16254</v>
      </c>
      <c r="E9" s="5">
        <v>3529011741.0124998</v>
      </c>
      <c r="F9" s="5">
        <v>13783989444.487499</v>
      </c>
      <c r="G9" s="5">
        <v>17313001185.5</v>
      </c>
    </row>
    <row r="10" spans="2:7" x14ac:dyDescent="0.25">
      <c r="B10" s="6" t="s">
        <v>59</v>
      </c>
      <c r="C10" s="5">
        <v>275</v>
      </c>
      <c r="D10" s="5">
        <v>17670</v>
      </c>
      <c r="E10" s="5">
        <v>5046280054.3694</v>
      </c>
      <c r="F10" s="5">
        <v>9165104293.3905983</v>
      </c>
      <c r="G10" s="5">
        <v>14211384347.75</v>
      </c>
    </row>
    <row r="11" spans="2:7" x14ac:dyDescent="0.25">
      <c r="B11" s="6" t="s">
        <v>60</v>
      </c>
      <c r="C11" s="5">
        <v>30</v>
      </c>
      <c r="D11" s="5">
        <v>3244</v>
      </c>
      <c r="E11" s="5">
        <v>2330417235.2581997</v>
      </c>
      <c r="F11" s="5">
        <v>3698817299.3318</v>
      </c>
      <c r="G11" s="5">
        <v>6029234534.5900002</v>
      </c>
    </row>
    <row r="12" spans="2:7" x14ac:dyDescent="0.25">
      <c r="B12" s="6" t="s">
        <v>61</v>
      </c>
      <c r="C12" s="5">
        <v>49</v>
      </c>
      <c r="D12" s="5">
        <v>4076</v>
      </c>
      <c r="E12" s="5">
        <v>1967184587.22</v>
      </c>
      <c r="F12" s="5">
        <v>3388984519.3599997</v>
      </c>
      <c r="G12" s="5">
        <v>5356169106.5799999</v>
      </c>
    </row>
    <row r="13" spans="2:7" x14ac:dyDescent="0.25">
      <c r="B13" s="6" t="s">
        <v>62</v>
      </c>
      <c r="C13" s="5">
        <v>43</v>
      </c>
      <c r="D13" s="5">
        <v>11226</v>
      </c>
      <c r="E13" s="5">
        <v>1453825241.8445001</v>
      </c>
      <c r="F13" s="5">
        <v>2911973626.6954999</v>
      </c>
      <c r="G13" s="5">
        <v>4365798868.54</v>
      </c>
    </row>
    <row r="14" spans="2:7" x14ac:dyDescent="0.25">
      <c r="B14" s="6" t="s">
        <v>63</v>
      </c>
      <c r="C14" s="5">
        <v>60</v>
      </c>
      <c r="D14" s="5">
        <v>3540</v>
      </c>
      <c r="E14" s="5">
        <v>3454231496.71</v>
      </c>
      <c r="F14" s="5">
        <v>266007612.19999999</v>
      </c>
      <c r="G14" s="5">
        <v>3720239108.9099998</v>
      </c>
    </row>
    <row r="15" spans="2:7" x14ac:dyDescent="0.25">
      <c r="B15" s="6" t="s">
        <v>64</v>
      </c>
      <c r="C15" s="5">
        <v>14</v>
      </c>
      <c r="D15" s="5">
        <v>1198</v>
      </c>
      <c r="E15" s="5">
        <v>1507219883.4000001</v>
      </c>
      <c r="F15" s="5">
        <v>962347876</v>
      </c>
      <c r="G15" s="5">
        <v>2469567759.4000001</v>
      </c>
    </row>
    <row r="16" spans="2:7" x14ac:dyDescent="0.25">
      <c r="B16" s="6" t="s">
        <v>65</v>
      </c>
      <c r="C16" s="5">
        <v>30</v>
      </c>
      <c r="D16" s="5">
        <v>945</v>
      </c>
      <c r="E16" s="5">
        <v>1014021702.99</v>
      </c>
      <c r="F16" s="5">
        <v>856004264</v>
      </c>
      <c r="G16" s="5">
        <v>1870025966.99</v>
      </c>
    </row>
    <row r="17" spans="2:7" x14ac:dyDescent="0.25">
      <c r="B17" s="6" t="s">
        <v>66</v>
      </c>
      <c r="C17" s="5">
        <v>7</v>
      </c>
      <c r="D17" s="5">
        <v>543</v>
      </c>
      <c r="E17" s="5">
        <v>1224002518.6259999</v>
      </c>
      <c r="F17" s="5">
        <v>492828434.36400002</v>
      </c>
      <c r="G17" s="5">
        <v>1716830952.99</v>
      </c>
    </row>
    <row r="18" spans="2:7" x14ac:dyDescent="0.25">
      <c r="B18" s="6" t="s">
        <v>67</v>
      </c>
      <c r="C18" s="5">
        <v>16</v>
      </c>
      <c r="D18" s="5">
        <v>958</v>
      </c>
      <c r="E18" s="5">
        <v>301517916.51999998</v>
      </c>
      <c r="F18" s="5">
        <v>40302463</v>
      </c>
      <c r="G18" s="5">
        <v>341820379.51999998</v>
      </c>
    </row>
    <row r="19" spans="2:7" x14ac:dyDescent="0.25">
      <c r="B19" s="6" t="s">
        <v>68</v>
      </c>
      <c r="C19" s="5">
        <v>3</v>
      </c>
      <c r="D19" s="5">
        <v>247</v>
      </c>
      <c r="E19" s="5">
        <v>205553601.69</v>
      </c>
      <c r="F19" s="5">
        <v>73419.31</v>
      </c>
      <c r="G19" s="5">
        <v>205627021</v>
      </c>
    </row>
    <row r="20" spans="2:7" x14ac:dyDescent="0.25">
      <c r="B20" s="6" t="s">
        <v>69</v>
      </c>
      <c r="C20" s="5">
        <v>1</v>
      </c>
      <c r="D20" s="5">
        <v>60</v>
      </c>
      <c r="E20" s="5">
        <v>10234930.17</v>
      </c>
      <c r="F20" s="5">
        <v>0</v>
      </c>
      <c r="G20" s="5">
        <v>10234930.17</v>
      </c>
    </row>
    <row r="21" spans="2:7" x14ac:dyDescent="0.25">
      <c r="B21" s="6" t="s">
        <v>70</v>
      </c>
      <c r="C21" s="5" t="s">
        <v>48</v>
      </c>
      <c r="D21" s="5" t="s">
        <v>48</v>
      </c>
      <c r="E21" s="5" t="s">
        <v>48</v>
      </c>
      <c r="F21" s="5" t="s">
        <v>48</v>
      </c>
      <c r="G21" s="5" t="s">
        <v>48</v>
      </c>
    </row>
    <row r="22" spans="2:7" x14ac:dyDescent="0.25">
      <c r="B22" s="7" t="s">
        <v>1</v>
      </c>
      <c r="C22" s="8">
        <f>SUM(C7:C21)</f>
        <v>1108</v>
      </c>
      <c r="D22" s="8">
        <f t="shared" ref="D22:G22" si="0">SUM(D7:D21)</f>
        <v>87695</v>
      </c>
      <c r="E22" s="8">
        <f t="shared" si="0"/>
        <v>31591825060.613205</v>
      </c>
      <c r="F22" s="8">
        <f t="shared" si="0"/>
        <v>88891733398.026779</v>
      </c>
      <c r="G22" s="8">
        <f t="shared" si="0"/>
        <v>120483558458.63</v>
      </c>
    </row>
  </sheetData>
  <mergeCells count="2">
    <mergeCell ref="B5:B6"/>
    <mergeCell ref="C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2"/>
  <sheetViews>
    <sheetView tabSelected="1" workbookViewId="0">
      <selection activeCell="A17" sqref="A17:XFD17"/>
    </sheetView>
  </sheetViews>
  <sheetFormatPr defaultRowHeight="15" x14ac:dyDescent="0.25"/>
  <cols>
    <col min="2" max="2" width="34.42578125" customWidth="1"/>
    <col min="3" max="3" width="12.140625" customWidth="1"/>
    <col min="4" max="4" width="19" customWidth="1"/>
    <col min="5" max="5" width="19.28515625" customWidth="1"/>
    <col min="6" max="6" width="20.42578125" customWidth="1"/>
    <col min="7" max="7" width="23.28515625" customWidth="1"/>
  </cols>
  <sheetData>
    <row r="2" spans="2:7" ht="15.75" x14ac:dyDescent="0.25">
      <c r="B2" s="9" t="s">
        <v>72</v>
      </c>
    </row>
    <row r="5" spans="2:7" x14ac:dyDescent="0.25">
      <c r="B5" s="21" t="s">
        <v>56</v>
      </c>
      <c r="C5" s="23" t="s">
        <v>34</v>
      </c>
      <c r="D5" s="24"/>
      <c r="E5" s="24"/>
      <c r="F5" s="24"/>
      <c r="G5" s="25"/>
    </row>
    <row r="6" spans="2:7" ht="45" x14ac:dyDescent="0.25">
      <c r="B6" s="22"/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</row>
    <row r="7" spans="2:7" s="28" customFormat="1" x14ac:dyDescent="0.25">
      <c r="B7" s="26" t="s">
        <v>40</v>
      </c>
      <c r="C7" s="27">
        <v>11</v>
      </c>
      <c r="D7" s="27">
        <v>3839</v>
      </c>
      <c r="E7" s="29">
        <v>70181406.599999994</v>
      </c>
      <c r="F7" s="29">
        <v>34271556250.400002</v>
      </c>
      <c r="G7" s="27">
        <v>34341737657</v>
      </c>
    </row>
    <row r="8" spans="2:7" s="28" customFormat="1" x14ac:dyDescent="0.25">
      <c r="B8" s="26" t="s">
        <v>41</v>
      </c>
      <c r="C8" s="27">
        <v>13</v>
      </c>
      <c r="D8" s="27">
        <v>2254</v>
      </c>
      <c r="E8" s="29">
        <v>409482379.07999998</v>
      </c>
      <c r="F8" s="29">
        <v>7424483278.3699999</v>
      </c>
      <c r="G8" s="27">
        <v>7833965657.4499998</v>
      </c>
    </row>
    <row r="9" spans="2:7" s="28" customFormat="1" x14ac:dyDescent="0.25">
      <c r="B9" s="26" t="s">
        <v>42</v>
      </c>
      <c r="C9" s="27">
        <v>7</v>
      </c>
      <c r="D9" s="27">
        <v>447</v>
      </c>
      <c r="E9" s="29">
        <v>533422716</v>
      </c>
      <c r="F9" s="29">
        <v>213112214.36000001</v>
      </c>
      <c r="G9" s="27">
        <v>746534930.36000001</v>
      </c>
    </row>
    <row r="10" spans="2:7" s="28" customFormat="1" x14ac:dyDescent="0.25">
      <c r="B10" s="26" t="s">
        <v>49</v>
      </c>
      <c r="C10" s="27">
        <v>4</v>
      </c>
      <c r="D10" s="27">
        <v>289</v>
      </c>
      <c r="E10" s="29">
        <v>31513378.07</v>
      </c>
      <c r="F10" s="29">
        <v>385810297.93000001</v>
      </c>
      <c r="G10" s="27">
        <v>417323676</v>
      </c>
    </row>
    <row r="11" spans="2:7" s="28" customFormat="1" x14ac:dyDescent="0.25">
      <c r="B11" s="26" t="s">
        <v>47</v>
      </c>
      <c r="C11" s="27">
        <v>1</v>
      </c>
      <c r="D11" s="27">
        <v>277</v>
      </c>
      <c r="E11" s="29">
        <v>209000000</v>
      </c>
      <c r="F11" s="29">
        <v>0</v>
      </c>
      <c r="G11" s="27">
        <v>209000000</v>
      </c>
    </row>
    <row r="12" spans="2:7" s="28" customFormat="1" x14ac:dyDescent="0.25">
      <c r="B12" s="26" t="s">
        <v>43</v>
      </c>
      <c r="C12" s="27">
        <v>2</v>
      </c>
      <c r="D12" s="27">
        <v>219</v>
      </c>
      <c r="E12" s="29">
        <v>0</v>
      </c>
      <c r="F12" s="29">
        <v>152661500</v>
      </c>
      <c r="G12" s="27">
        <v>152661500</v>
      </c>
    </row>
    <row r="13" spans="2:7" s="28" customFormat="1" x14ac:dyDescent="0.25">
      <c r="B13" s="26" t="s">
        <v>46</v>
      </c>
      <c r="C13" s="27">
        <v>5</v>
      </c>
      <c r="D13" s="27">
        <v>714</v>
      </c>
      <c r="E13" s="29">
        <v>18884400</v>
      </c>
      <c r="F13" s="29">
        <v>107241406.09999999</v>
      </c>
      <c r="G13" s="27">
        <v>126125806.09999999</v>
      </c>
    </row>
    <row r="14" spans="2:7" s="28" customFormat="1" x14ac:dyDescent="0.25">
      <c r="B14" s="26" t="s">
        <v>50</v>
      </c>
      <c r="C14" s="27">
        <v>6</v>
      </c>
      <c r="D14" s="27">
        <v>360</v>
      </c>
      <c r="E14" s="29">
        <v>50760673</v>
      </c>
      <c r="F14" s="29">
        <v>16464901.439999999</v>
      </c>
      <c r="G14" s="27">
        <v>67225574.439999998</v>
      </c>
    </row>
    <row r="15" spans="2:7" s="28" customFormat="1" x14ac:dyDescent="0.25">
      <c r="B15" s="26" t="s">
        <v>53</v>
      </c>
      <c r="C15" s="27">
        <v>3</v>
      </c>
      <c r="D15" s="27">
        <v>232</v>
      </c>
      <c r="E15" s="29">
        <v>55104063</v>
      </c>
      <c r="F15" s="29">
        <v>7350000</v>
      </c>
      <c r="G15" s="27">
        <v>62454063</v>
      </c>
    </row>
    <row r="16" spans="2:7" s="28" customFormat="1" x14ac:dyDescent="0.25">
      <c r="B16" s="26" t="s">
        <v>44</v>
      </c>
      <c r="C16" s="27">
        <v>1</v>
      </c>
      <c r="D16" s="27">
        <v>4</v>
      </c>
      <c r="E16" s="29">
        <v>0</v>
      </c>
      <c r="F16" s="29">
        <v>30000000</v>
      </c>
      <c r="G16" s="27">
        <v>30000000</v>
      </c>
    </row>
    <row r="17" spans="2:7" s="28" customFormat="1" x14ac:dyDescent="0.25">
      <c r="B17" s="26" t="s">
        <v>45</v>
      </c>
      <c r="C17" s="27">
        <v>1</v>
      </c>
      <c r="D17" s="27">
        <v>76</v>
      </c>
      <c r="E17" s="29">
        <v>12765000</v>
      </c>
      <c r="F17" s="29">
        <v>12765000</v>
      </c>
      <c r="G17" s="27">
        <v>25530000</v>
      </c>
    </row>
    <row r="18" spans="2:7" x14ac:dyDescent="0.25">
      <c r="B18" s="4" t="s">
        <v>52</v>
      </c>
      <c r="C18" s="5">
        <v>1</v>
      </c>
      <c r="D18" s="5">
        <v>35</v>
      </c>
      <c r="E18" s="30">
        <v>16037540.73</v>
      </c>
      <c r="F18" s="30">
        <v>3761892.27</v>
      </c>
      <c r="G18" s="5">
        <v>19799433</v>
      </c>
    </row>
    <row r="19" spans="2:7" s="28" customFormat="1" x14ac:dyDescent="0.25">
      <c r="B19" s="26" t="s">
        <v>54</v>
      </c>
      <c r="C19" s="27">
        <v>1</v>
      </c>
      <c r="D19" s="27">
        <v>59</v>
      </c>
      <c r="E19" s="29">
        <v>4764842.28</v>
      </c>
      <c r="F19" s="29">
        <v>9249399.7200000007</v>
      </c>
      <c r="G19" s="27">
        <v>14014242</v>
      </c>
    </row>
    <row r="20" spans="2:7" x14ac:dyDescent="0.25">
      <c r="B20" s="4" t="s">
        <v>51</v>
      </c>
      <c r="C20" s="5">
        <v>2</v>
      </c>
      <c r="D20" s="5">
        <v>16</v>
      </c>
      <c r="E20" s="30">
        <v>9522900</v>
      </c>
      <c r="F20" s="30">
        <v>0</v>
      </c>
      <c r="G20" s="5">
        <v>9522900</v>
      </c>
    </row>
    <row r="21" spans="2:7" x14ac:dyDescent="0.25">
      <c r="B21" s="4" t="s">
        <v>55</v>
      </c>
      <c r="C21" s="5">
        <v>1</v>
      </c>
      <c r="D21" s="5">
        <v>61</v>
      </c>
      <c r="E21" s="30">
        <v>0</v>
      </c>
      <c r="F21" s="30">
        <v>8827166</v>
      </c>
      <c r="G21" s="5">
        <v>8827166</v>
      </c>
    </row>
    <row r="22" spans="2:7" x14ac:dyDescent="0.25">
      <c r="B22" s="2" t="s">
        <v>1</v>
      </c>
      <c r="C22" s="3">
        <f>SUM(C7:C21)</f>
        <v>59</v>
      </c>
      <c r="D22" s="3">
        <f t="shared" ref="D22:G22" si="0">SUM(D7:D21)</f>
        <v>8882</v>
      </c>
      <c r="E22" s="31">
        <f t="shared" si="0"/>
        <v>1421439298.76</v>
      </c>
      <c r="F22" s="31">
        <f>SUM(F7:F21)</f>
        <v>42643283306.590004</v>
      </c>
      <c r="G22" s="3">
        <f t="shared" si="0"/>
        <v>44064722605.349998</v>
      </c>
    </row>
  </sheetData>
  <sortState ref="B8:G21">
    <sortCondition descending="1" ref="G7:G21"/>
  </sortState>
  <mergeCells count="2">
    <mergeCell ref="B5:B6"/>
    <mergeCell ref="C5:G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27"/>
  <sheetViews>
    <sheetView workbookViewId="0">
      <selection activeCell="B3" sqref="B3"/>
    </sheetView>
  </sheetViews>
  <sheetFormatPr defaultRowHeight="15" x14ac:dyDescent="0.25"/>
  <cols>
    <col min="2" max="2" width="33.28515625" customWidth="1"/>
    <col min="3" max="3" width="8.28515625" bestFit="1" customWidth="1"/>
    <col min="4" max="4" width="14.7109375" customWidth="1"/>
    <col min="5" max="5" width="15" bestFit="1" customWidth="1"/>
    <col min="6" max="6" width="16.140625" bestFit="1" customWidth="1"/>
    <col min="7" max="7" width="23.7109375" customWidth="1"/>
  </cols>
  <sheetData>
    <row r="3" spans="2:7" ht="15.75" x14ac:dyDescent="0.25">
      <c r="B3" s="9" t="s">
        <v>73</v>
      </c>
    </row>
    <row r="6" spans="2:7" x14ac:dyDescent="0.25">
      <c r="B6" s="21" t="s">
        <v>2</v>
      </c>
      <c r="C6" s="23" t="s">
        <v>34</v>
      </c>
      <c r="D6" s="24"/>
      <c r="E6" s="24"/>
      <c r="F6" s="24"/>
      <c r="G6" s="25"/>
    </row>
    <row r="7" spans="2:7" ht="45" x14ac:dyDescent="0.25">
      <c r="B7" s="22"/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</row>
    <row r="8" spans="2:7" x14ac:dyDescent="0.25">
      <c r="B8" s="15" t="s">
        <v>13</v>
      </c>
      <c r="C8" s="12">
        <v>15</v>
      </c>
      <c r="D8" s="12">
        <v>5171</v>
      </c>
      <c r="E8" s="12">
        <v>228054257</v>
      </c>
      <c r="F8" s="12">
        <v>41229883801</v>
      </c>
      <c r="G8" s="17">
        <f>E8+F8</f>
        <v>41457938058</v>
      </c>
    </row>
    <row r="9" spans="2:7" x14ac:dyDescent="0.25">
      <c r="B9" s="15" t="s">
        <v>9</v>
      </c>
      <c r="C9" s="12">
        <v>3</v>
      </c>
      <c r="D9" s="12">
        <v>1076</v>
      </c>
      <c r="E9" s="12">
        <v>0</v>
      </c>
      <c r="F9" s="12">
        <v>635135679.37</v>
      </c>
      <c r="G9" s="17">
        <v>635135679.37</v>
      </c>
    </row>
    <row r="10" spans="2:7" x14ac:dyDescent="0.25">
      <c r="B10" s="15" t="s">
        <v>5</v>
      </c>
      <c r="C10" s="12">
        <v>6</v>
      </c>
      <c r="D10" s="12">
        <v>701</v>
      </c>
      <c r="E10" s="12">
        <v>583214631</v>
      </c>
      <c r="F10" s="12">
        <v>24000000</v>
      </c>
      <c r="G10" s="17">
        <v>607214631</v>
      </c>
    </row>
    <row r="11" spans="2:7" x14ac:dyDescent="0.25">
      <c r="B11" s="15" t="s">
        <v>12</v>
      </c>
      <c r="C11" s="12">
        <v>2</v>
      </c>
      <c r="D11" s="12">
        <v>264</v>
      </c>
      <c r="E11" s="12">
        <v>0</v>
      </c>
      <c r="F11" s="12">
        <v>372180000</v>
      </c>
      <c r="G11" s="17">
        <f>E11+F11</f>
        <v>372180000</v>
      </c>
    </row>
    <row r="12" spans="2:7" x14ac:dyDescent="0.25">
      <c r="B12" s="15" t="s">
        <v>4</v>
      </c>
      <c r="C12" s="12">
        <v>2</v>
      </c>
      <c r="D12" s="12">
        <v>89</v>
      </c>
      <c r="E12" s="12">
        <v>346535000</v>
      </c>
      <c r="F12" s="12">
        <v>0</v>
      </c>
      <c r="G12" s="17">
        <v>346535000</v>
      </c>
    </row>
    <row r="13" spans="2:7" x14ac:dyDescent="0.25">
      <c r="B13" s="15" t="s">
        <v>19</v>
      </c>
      <c r="C13" s="12">
        <v>5</v>
      </c>
      <c r="D13" s="12">
        <v>277</v>
      </c>
      <c r="E13" s="12">
        <v>28496661.800000001</v>
      </c>
      <c r="F13" s="12">
        <v>122582448.2</v>
      </c>
      <c r="G13" s="17">
        <v>151079110</v>
      </c>
    </row>
    <row r="14" spans="2:7" x14ac:dyDescent="0.25">
      <c r="B14" s="15" t="s">
        <v>6</v>
      </c>
      <c r="C14" s="12">
        <v>3</v>
      </c>
      <c r="D14" s="12">
        <v>89</v>
      </c>
      <c r="E14" s="12">
        <v>15353400</v>
      </c>
      <c r="F14" s="12">
        <v>108909923</v>
      </c>
      <c r="G14" s="17">
        <v>124263323</v>
      </c>
    </row>
    <row r="15" spans="2:7" x14ac:dyDescent="0.25">
      <c r="B15" s="15" t="s">
        <v>11</v>
      </c>
      <c r="C15" s="12">
        <v>2</v>
      </c>
      <c r="D15" s="12">
        <v>221</v>
      </c>
      <c r="E15" s="12">
        <v>39000000</v>
      </c>
      <c r="F15" s="12">
        <v>55905738.100000001</v>
      </c>
      <c r="G15" s="17">
        <v>94905738.099999994</v>
      </c>
    </row>
    <row r="16" spans="2:7" x14ac:dyDescent="0.25">
      <c r="B16" s="15" t="s">
        <v>14</v>
      </c>
      <c r="C16" s="12">
        <v>5</v>
      </c>
      <c r="D16" s="12">
        <v>242</v>
      </c>
      <c r="E16" s="12">
        <v>55645693.880000003</v>
      </c>
      <c r="F16" s="12">
        <v>19139503.48</v>
      </c>
      <c r="G16" s="17">
        <v>74785197.359999999</v>
      </c>
    </row>
    <row r="17" spans="2:7" x14ac:dyDescent="0.25">
      <c r="B17" s="15" t="s">
        <v>10</v>
      </c>
      <c r="C17" s="12">
        <v>1</v>
      </c>
      <c r="D17" s="12">
        <v>79</v>
      </c>
      <c r="E17" s="12">
        <v>0</v>
      </c>
      <c r="F17" s="12">
        <v>42683668</v>
      </c>
      <c r="G17" s="17">
        <v>42683668</v>
      </c>
    </row>
    <row r="18" spans="2:7" x14ac:dyDescent="0.25">
      <c r="B18" s="15" t="s">
        <v>20</v>
      </c>
      <c r="C18" s="12">
        <v>6</v>
      </c>
      <c r="D18" s="12">
        <v>220</v>
      </c>
      <c r="E18" s="12">
        <v>25876669</v>
      </c>
      <c r="F18" s="12">
        <v>8652000</v>
      </c>
      <c r="G18" s="17">
        <v>34528669</v>
      </c>
    </row>
    <row r="19" spans="2:7" x14ac:dyDescent="0.25">
      <c r="B19" s="15" t="s">
        <v>17</v>
      </c>
      <c r="C19" s="12">
        <v>1</v>
      </c>
      <c r="D19" s="12">
        <v>53</v>
      </c>
      <c r="E19" s="12">
        <v>26218710.079999998</v>
      </c>
      <c r="F19" s="12">
        <v>0</v>
      </c>
      <c r="G19" s="17">
        <v>26218710.079999998</v>
      </c>
    </row>
    <row r="20" spans="2:7" x14ac:dyDescent="0.25">
      <c r="B20" s="15" t="s">
        <v>18</v>
      </c>
      <c r="C20" s="12">
        <v>1</v>
      </c>
      <c r="D20" s="12">
        <v>76</v>
      </c>
      <c r="E20" s="12">
        <v>12765000</v>
      </c>
      <c r="F20" s="12">
        <v>12765000</v>
      </c>
      <c r="G20" s="17">
        <v>25530000</v>
      </c>
    </row>
    <row r="21" spans="2:7" x14ac:dyDescent="0.25">
      <c r="B21" s="15" t="s">
        <v>8</v>
      </c>
      <c r="C21" s="12">
        <v>2</v>
      </c>
      <c r="D21" s="12">
        <v>73</v>
      </c>
      <c r="E21" s="12">
        <v>25479658</v>
      </c>
      <c r="F21" s="12">
        <v>0</v>
      </c>
      <c r="G21" s="17">
        <v>25479658</v>
      </c>
    </row>
    <row r="22" spans="2:7" x14ac:dyDescent="0.25">
      <c r="B22" s="15" t="s">
        <v>15</v>
      </c>
      <c r="C22" s="12">
        <v>2</v>
      </c>
      <c r="D22" s="12">
        <v>104</v>
      </c>
      <c r="E22" s="12">
        <v>18480000</v>
      </c>
      <c r="F22" s="12">
        <v>0</v>
      </c>
      <c r="G22" s="17">
        <v>18480000</v>
      </c>
    </row>
    <row r="23" spans="2:7" x14ac:dyDescent="0.25">
      <c r="B23" s="15" t="s">
        <v>7</v>
      </c>
      <c r="C23" s="12">
        <v>1</v>
      </c>
      <c r="D23" s="12">
        <v>75</v>
      </c>
      <c r="E23" s="12">
        <v>7650000</v>
      </c>
      <c r="F23" s="12">
        <v>7350000</v>
      </c>
      <c r="G23" s="17">
        <v>15000000</v>
      </c>
    </row>
    <row r="24" spans="2:7" x14ac:dyDescent="0.25">
      <c r="B24" s="15" t="s">
        <v>16</v>
      </c>
      <c r="C24" s="12">
        <v>1</v>
      </c>
      <c r="D24" s="12">
        <v>57</v>
      </c>
      <c r="E24" s="12">
        <v>8454063</v>
      </c>
      <c r="F24" s="12">
        <v>0</v>
      </c>
      <c r="G24" s="17">
        <v>8454063</v>
      </c>
    </row>
    <row r="25" spans="2:7" x14ac:dyDescent="0.25">
      <c r="B25" s="15" t="s">
        <v>21</v>
      </c>
      <c r="C25" s="12">
        <v>1</v>
      </c>
      <c r="D25" s="12">
        <v>15</v>
      </c>
      <c r="E25" s="12">
        <v>215555</v>
      </c>
      <c r="F25" s="12">
        <v>4095545</v>
      </c>
      <c r="G25" s="17">
        <v>4311100</v>
      </c>
    </row>
    <row r="26" spans="2:7" x14ac:dyDescent="0.25">
      <c r="B26" s="13" t="s">
        <v>1</v>
      </c>
      <c r="C26" s="14">
        <v>59</v>
      </c>
      <c r="D26" s="14">
        <v>8882</v>
      </c>
      <c r="E26" s="14">
        <v>1421439298.76</v>
      </c>
      <c r="F26" s="14">
        <v>42643283306.589996</v>
      </c>
      <c r="G26" s="18">
        <f>SUM(G8:G25)</f>
        <v>44064722604.910004</v>
      </c>
    </row>
    <row r="27" spans="2:7" x14ac:dyDescent="0.25">
      <c r="G27" s="16"/>
    </row>
  </sheetData>
  <sortState ref="B9:G25">
    <sortCondition descending="1" ref="G8:G25"/>
  </sortState>
  <mergeCells count="2">
    <mergeCell ref="B6:B7"/>
    <mergeCell ref="C6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9"/>
  <sheetViews>
    <sheetView workbookViewId="0">
      <selection activeCell="B4" sqref="B4"/>
    </sheetView>
  </sheetViews>
  <sheetFormatPr defaultRowHeight="15" x14ac:dyDescent="0.25"/>
  <cols>
    <col min="2" max="2" width="28.5703125" customWidth="1"/>
    <col min="4" max="4" width="15.42578125" customWidth="1"/>
    <col min="5" max="5" width="32.7109375" customWidth="1"/>
  </cols>
  <sheetData>
    <row r="3" spans="2:5" ht="15.75" x14ac:dyDescent="0.25">
      <c r="B3" s="9" t="s">
        <v>74</v>
      </c>
    </row>
    <row r="5" spans="2:5" x14ac:dyDescent="0.25">
      <c r="B5" s="21" t="s">
        <v>2</v>
      </c>
      <c r="C5" s="23" t="s">
        <v>34</v>
      </c>
      <c r="D5" s="24"/>
      <c r="E5" s="25"/>
    </row>
    <row r="6" spans="2:5" ht="45" x14ac:dyDescent="0.25">
      <c r="B6" s="22"/>
      <c r="C6" s="1" t="s">
        <v>35</v>
      </c>
      <c r="D6" s="1" t="s">
        <v>36</v>
      </c>
      <c r="E6" s="1" t="s">
        <v>38</v>
      </c>
    </row>
    <row r="7" spans="2:5" ht="21" customHeight="1" x14ac:dyDescent="0.25">
      <c r="B7" s="19" t="s">
        <v>22</v>
      </c>
      <c r="C7" s="20">
        <v>1</v>
      </c>
      <c r="D7" s="20">
        <v>630</v>
      </c>
      <c r="E7" s="20">
        <v>30073000000</v>
      </c>
    </row>
    <row r="8" spans="2:5" x14ac:dyDescent="0.25">
      <c r="B8" s="19" t="s">
        <v>25</v>
      </c>
      <c r="C8" s="20">
        <v>4</v>
      </c>
      <c r="D8" s="20">
        <v>1258</v>
      </c>
      <c r="E8" s="20">
        <v>6841751176</v>
      </c>
    </row>
    <row r="9" spans="2:5" x14ac:dyDescent="0.25">
      <c r="B9" s="19" t="s">
        <v>29</v>
      </c>
      <c r="C9" s="20">
        <v>6</v>
      </c>
      <c r="D9" s="20">
        <v>1979</v>
      </c>
      <c r="E9" s="20">
        <v>2434093205.5999999</v>
      </c>
    </row>
    <row r="10" spans="2:5" x14ac:dyDescent="0.25">
      <c r="B10" s="19" t="s">
        <v>33</v>
      </c>
      <c r="C10" s="20">
        <v>3</v>
      </c>
      <c r="D10" s="20">
        <v>241</v>
      </c>
      <c r="E10" s="20">
        <v>1334567284</v>
      </c>
    </row>
    <row r="11" spans="2:5" x14ac:dyDescent="0.25">
      <c r="B11" s="19" t="s">
        <v>31</v>
      </c>
      <c r="C11" s="20">
        <v>7</v>
      </c>
      <c r="D11" s="20">
        <v>1467</v>
      </c>
      <c r="E11" s="20">
        <v>869997964</v>
      </c>
    </row>
    <row r="12" spans="2:5" x14ac:dyDescent="0.25">
      <c r="B12" s="19" t="s">
        <v>24</v>
      </c>
      <c r="C12" s="20">
        <v>2</v>
      </c>
      <c r="D12" s="20">
        <v>861</v>
      </c>
      <c r="E12" s="20">
        <v>503588879</v>
      </c>
    </row>
    <row r="13" spans="2:5" x14ac:dyDescent="0.25">
      <c r="B13" s="19" t="s">
        <v>30</v>
      </c>
      <c r="C13" s="20">
        <v>5</v>
      </c>
      <c r="D13" s="20">
        <v>307</v>
      </c>
      <c r="E13" s="20">
        <v>417723163.19999999</v>
      </c>
    </row>
    <row r="14" spans="2:5" x14ac:dyDescent="0.25">
      <c r="B14" s="19" t="s">
        <v>28</v>
      </c>
      <c r="C14" s="20">
        <v>6</v>
      </c>
      <c r="D14" s="20">
        <v>174</v>
      </c>
      <c r="E14" s="20">
        <v>92061761.200000003</v>
      </c>
    </row>
    <row r="15" spans="2:5" x14ac:dyDescent="0.25">
      <c r="B15" s="19" t="s">
        <v>27</v>
      </c>
      <c r="C15" s="20">
        <v>1</v>
      </c>
      <c r="D15" s="20">
        <v>121</v>
      </c>
      <c r="E15" s="20">
        <v>55905738.100000001</v>
      </c>
    </row>
    <row r="16" spans="2:5" x14ac:dyDescent="0.25">
      <c r="B16" s="19" t="s">
        <v>23</v>
      </c>
      <c r="C16" s="20">
        <v>1</v>
      </c>
      <c r="D16" s="20">
        <v>80</v>
      </c>
      <c r="E16" s="20">
        <v>10777629.369999999</v>
      </c>
    </row>
    <row r="17" spans="2:5" x14ac:dyDescent="0.25">
      <c r="B17" s="19" t="s">
        <v>32</v>
      </c>
      <c r="C17" s="20">
        <v>1</v>
      </c>
      <c r="D17" s="20">
        <v>59</v>
      </c>
      <c r="E17" s="20">
        <v>9249399.7200000007</v>
      </c>
    </row>
    <row r="18" spans="2:5" x14ac:dyDescent="0.25">
      <c r="B18" s="19" t="s">
        <v>26</v>
      </c>
      <c r="C18" s="20">
        <v>1</v>
      </c>
      <c r="D18" s="20">
        <v>14</v>
      </c>
      <c r="E18" s="20">
        <v>567106.4</v>
      </c>
    </row>
    <row r="19" spans="2:5" x14ac:dyDescent="0.25">
      <c r="B19" s="13" t="s">
        <v>1</v>
      </c>
      <c r="C19" s="14">
        <f>SUM(C7:C18)</f>
        <v>38</v>
      </c>
      <c r="D19" s="14">
        <f t="shared" ref="D19:E19" si="0">SUM(D7:D18)</f>
        <v>7191</v>
      </c>
      <c r="E19" s="14">
        <f t="shared" si="0"/>
        <v>42643283306.589996</v>
      </c>
    </row>
  </sheetData>
  <sortState ref="B7:E18">
    <sortCondition descending="1" ref="E7:E18"/>
  </sortState>
  <mergeCells count="2">
    <mergeCell ref="B5:B6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</vt:lpstr>
      <vt:lpstr>Industry</vt:lpstr>
      <vt:lpstr>Location</vt:lpstr>
      <vt:lpstr>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Rohani binti Saad</dc:creator>
  <cp:lastModifiedBy>Invest Kedah</cp:lastModifiedBy>
  <dcterms:created xsi:type="dcterms:W3CDTF">2025-02-26T01:23:19Z</dcterms:created>
  <dcterms:modified xsi:type="dcterms:W3CDTF">2025-03-04T09:29:40Z</dcterms:modified>
</cp:coreProperties>
</file>